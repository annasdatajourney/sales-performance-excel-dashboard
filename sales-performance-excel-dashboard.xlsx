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Dell\Desktop\Projekty\Excel\"/>
    </mc:Choice>
  </mc:AlternateContent>
  <xr:revisionPtr revIDLastSave="0" documentId="13_ncr:1_{F6F38BAA-A93E-409E-A0DD-42A3FD19DB2D}" xr6:coauthVersionLast="47" xr6:coauthVersionMax="47" xr10:uidLastSave="{00000000-0000-0000-0000-000000000000}"/>
  <bookViews>
    <workbookView xWindow="-108" yWindow="-108" windowWidth="23256" windowHeight="12456" activeTab="2" xr2:uid="{00000000-000D-0000-FFFF-FFFF00000000}"/>
  </bookViews>
  <sheets>
    <sheet name="Executive Summary" sheetId="8" r:id="rId1"/>
    <sheet name="Dashboard" sheetId="7" r:id="rId2"/>
    <sheet name="Source" sheetId="1" r:id="rId3"/>
    <sheet name="sales_progress" sheetId="4" r:id="rId4"/>
    <sheet name="revenue-generating_stores" sheetId="5" r:id="rId5"/>
    <sheet name="warehouse_sales" sheetId="6" r:id="rId6"/>
  </sheets>
  <definedNames>
    <definedName name="Fragmentator_Sales_Channel">#N/A</definedName>
    <definedName name="Fragmentator_Sell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4" i="5"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alcChain>
</file>

<file path=xl/sharedStrings.xml><?xml version="1.0" encoding="utf-8"?>
<sst xmlns="http://schemas.openxmlformats.org/spreadsheetml/2006/main" count="856" uniqueCount="307">
  <si>
    <t>Order ID</t>
  </si>
  <si>
    <t>Sales Channel</t>
  </si>
  <si>
    <t>Warehouse</t>
  </si>
  <si>
    <t>Order Date</t>
  </si>
  <si>
    <t>Seller</t>
  </si>
  <si>
    <t>City</t>
  </si>
  <si>
    <t>Customer ID</t>
  </si>
  <si>
    <t>Store ID</t>
  </si>
  <si>
    <t>Product Name</t>
  </si>
  <si>
    <t>Quantity Sold</t>
  </si>
  <si>
    <t>Discount</t>
  </si>
  <si>
    <t>Price per Unit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</si>
  <si>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</si>
  <si>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</si>
  <si>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</si>
  <si>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</si>
  <si>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</si>
  <si>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</si>
  <si>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</si>
  <si>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</si>
  <si>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</si>
  <si>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</si>
  <si>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</si>
  <si>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</si>
  <si>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</si>
  <si>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</si>
  <si>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</si>
  <si>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</si>
  <si>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</si>
  <si>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</si>
  <si>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</si>
  <si>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</si>
  <si>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</si>
  <si>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</si>
  <si>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</si>
  <si>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</si>
  <si>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</si>
  <si>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</si>
  <si>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</si>
  <si>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</si>
  <si>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</si>
  <si>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</si>
  <si>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</si>
  <si>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</si>
  <si>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</si>
  <si>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</si>
  <si>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</si>
  <si>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</si>
  <si>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</si>
  <si>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</si>
  <si>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</si>
  <si>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</si>
  <si>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</si>
  <si>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</si>
  <si>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</si>
  <si>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</si>
  <si>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</si>
  <si>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</si>
  <si>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</si>
  <si>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</si>
  <si>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</si>
  <si>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</si>
  <si>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</si>
  <si>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</si>
  <si>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</si>
  <si>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</si>
  <si>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</si>
  <si>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</si>
  <si>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</si>
  <si>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</si>
  <si>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</si>
  <si>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</si>
  <si>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</si>
  <si>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</si>
  <si>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</si>
  <si>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</si>
  <si>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</si>
  <si>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</si>
  <si>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</si>
  <si>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</si>
  <si>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</si>
  <si>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</si>
  <si>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</si>
  <si>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</si>
  <si>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</si>
  <si>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</si>
  <si>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</si>
  <si>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</si>
  <si>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</si>
  <si>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</si>
  <si>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</si>
  <si>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</si>
  <si>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</si>
  <si>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</si>
  <si>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</si>
  <si>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</si>
  <si>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</si>
  <si>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</si>
  <si>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</si>
  <si>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</si>
  <si>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</si>
  <si>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</si>
  <si>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</si>
  <si>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</si>
  <si>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</si>
  <si>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</si>
  <si>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</si>
  <si>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</si>
  <si>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</si>
  <si>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</si>
  <si>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</si>
  <si>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</si>
  <si>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In-store</t>
  </si>
  <si>
    <t>Online</t>
  </si>
  <si>
    <t>Liverpool</t>
  </si>
  <si>
    <t>Manchester</t>
  </si>
  <si>
    <t>Newcastle</t>
  </si>
  <si>
    <t>Leeds</t>
  </si>
  <si>
    <t>London</t>
  </si>
  <si>
    <t>Sheffield</t>
  </si>
  <si>
    <t>Birmingham</t>
  </si>
  <si>
    <t>Bristol</t>
  </si>
  <si>
    <t>CUST2964</t>
  </si>
  <si>
    <t>CUST4278</t>
  </si>
  <si>
    <t>CUST4758</t>
  </si>
  <si>
    <t>CUST1657</t>
  </si>
  <si>
    <t>CUST9678</t>
  </si>
  <si>
    <t>CUST2440</t>
  </si>
  <si>
    <t>CUST7096</t>
  </si>
  <si>
    <t>CUST2097</t>
  </si>
  <si>
    <t>CUST2538</t>
  </si>
  <si>
    <t>CUST6788</t>
  </si>
  <si>
    <t>CUST1922</t>
  </si>
  <si>
    <t>CUST5828</t>
  </si>
  <si>
    <t>CUST5300</t>
  </si>
  <si>
    <t>CUST2282</t>
  </si>
  <si>
    <t>CUST4472</t>
  </si>
  <si>
    <t>CUST9797</t>
  </si>
  <si>
    <t>CUST4362</t>
  </si>
  <si>
    <t>CUST6737</t>
  </si>
  <si>
    <t>CUST8367</t>
  </si>
  <si>
    <t>CUST9376</t>
  </si>
  <si>
    <t>CUST6351</t>
  </si>
  <si>
    <t>CUST1268</t>
  </si>
  <si>
    <t>CUST3714</t>
  </si>
  <si>
    <t>CUST8204</t>
  </si>
  <si>
    <t>CUST8602</t>
  </si>
  <si>
    <t>CUST8806</t>
  </si>
  <si>
    <t>CUST7656</t>
  </si>
  <si>
    <t>CUST5695</t>
  </si>
  <si>
    <t>CUST9854</t>
  </si>
  <si>
    <t>CUST2863</t>
  </si>
  <si>
    <t>CUST1708</t>
  </si>
  <si>
    <t>CUST1767</t>
  </si>
  <si>
    <t>CUST9378</t>
  </si>
  <si>
    <t>CUST4195</t>
  </si>
  <si>
    <t>CUST1107</t>
  </si>
  <si>
    <t>CUST7258</t>
  </si>
  <si>
    <t>CUST1039</t>
  </si>
  <si>
    <t>CUST5147</t>
  </si>
  <si>
    <t>CUST9740</t>
  </si>
  <si>
    <t>CUST5039</t>
  </si>
  <si>
    <t>CUST4081</t>
  </si>
  <si>
    <t>CUST1285</t>
  </si>
  <si>
    <t>CUST5778</t>
  </si>
  <si>
    <t>CUST4608</t>
  </si>
  <si>
    <t>CUST2346</t>
  </si>
  <si>
    <t>CUST6458</t>
  </si>
  <si>
    <t>CUST3023</t>
  </si>
  <si>
    <t>CUST9662</t>
  </si>
  <si>
    <t>CUST9971</t>
  </si>
  <si>
    <t>CUST2426</t>
  </si>
  <si>
    <t>CUST9269</t>
  </si>
  <si>
    <t>CUST6281</t>
  </si>
  <si>
    <t>CUST7059</t>
  </si>
  <si>
    <t>CUST1478</t>
  </si>
  <si>
    <t>CUST6463</t>
  </si>
  <si>
    <t>CUST2168</t>
  </si>
  <si>
    <t>CUST2396</t>
  </si>
  <si>
    <t>CUST5911</t>
  </si>
  <si>
    <t>CUST9807</t>
  </si>
  <si>
    <t>CUST4898</t>
  </si>
  <si>
    <t>CUST6197</t>
  </si>
  <si>
    <t>CUST9997</t>
  </si>
  <si>
    <t>CUST3092</t>
  </si>
  <si>
    <t>CUST3057</t>
  </si>
  <si>
    <t>CUST8389</t>
  </si>
  <si>
    <t>CUST5920</t>
  </si>
  <si>
    <t>CUST5794</t>
  </si>
  <si>
    <t>CUST9000</t>
  </si>
  <si>
    <t>CUST7325</t>
  </si>
  <si>
    <t>CUST2278</t>
  </si>
  <si>
    <t>CUST8111</t>
  </si>
  <si>
    <t>CUST4869</t>
  </si>
  <si>
    <t>CUST6563</t>
  </si>
  <si>
    <t>CUST3168</t>
  </si>
  <si>
    <t>CUST8888</t>
  </si>
  <si>
    <t>CUST6580</t>
  </si>
  <si>
    <t>CUST2485</t>
  </si>
  <si>
    <t>CUST6232</t>
  </si>
  <si>
    <t>CUST4819</t>
  </si>
  <si>
    <t>CUST3342</t>
  </si>
  <si>
    <t>CUST7022</t>
  </si>
  <si>
    <t>CUST8686</t>
  </si>
  <si>
    <t>CUST7424</t>
  </si>
  <si>
    <t>CUST2121</t>
  </si>
  <si>
    <t>CUST5121</t>
  </si>
  <si>
    <t>CUST1853</t>
  </si>
  <si>
    <t>CUST5117</t>
  </si>
  <si>
    <t>CUST2988</t>
  </si>
  <si>
    <t>CUST5395</t>
  </si>
  <si>
    <t>CUST5433</t>
  </si>
  <si>
    <t>CUST4008</t>
  </si>
  <si>
    <t>CUST7056</t>
  </si>
  <si>
    <t>CUST4367</t>
  </si>
  <si>
    <t>CUST9790</t>
  </si>
  <si>
    <t>CUST3446</t>
  </si>
  <si>
    <t>CUST7773</t>
  </si>
  <si>
    <t>CUST2949</t>
  </si>
  <si>
    <t>CUST6223</t>
  </si>
  <si>
    <t>CUST6451</t>
  </si>
  <si>
    <t>STORE5</t>
  </si>
  <si>
    <t>STORE50</t>
  </si>
  <si>
    <t>STORE27</t>
  </si>
  <si>
    <t>STORE17</t>
  </si>
  <si>
    <t>STORE6</t>
  </si>
  <si>
    <t>STORE39</t>
  </si>
  <si>
    <t>STORE44</t>
  </si>
  <si>
    <t>STORE23</t>
  </si>
  <si>
    <t>STORE40</t>
  </si>
  <si>
    <t>STORE31</t>
  </si>
  <si>
    <t>STORE24</t>
  </si>
  <si>
    <t>STORE38</t>
  </si>
  <si>
    <t>STORE32</t>
  </si>
  <si>
    <t>STORE3</t>
  </si>
  <si>
    <t>STORE46</t>
  </si>
  <si>
    <t>STORE41</t>
  </si>
  <si>
    <t>STORE12</t>
  </si>
  <si>
    <t>STORE16</t>
  </si>
  <si>
    <t>STORE22</t>
  </si>
  <si>
    <t>STORE15</t>
  </si>
  <si>
    <t>STORE10</t>
  </si>
  <si>
    <t>STORE37</t>
  </si>
  <si>
    <t>STORE2</t>
  </si>
  <si>
    <t>STORE13</t>
  </si>
  <si>
    <t>STORE42</t>
  </si>
  <si>
    <t>STORE8</t>
  </si>
  <si>
    <t>STORE30</t>
  </si>
  <si>
    <t>STORE49</t>
  </si>
  <si>
    <t>STORE9</t>
  </si>
  <si>
    <t>STORE18</t>
  </si>
  <si>
    <t>STORE36</t>
  </si>
  <si>
    <t>STORE29</t>
  </si>
  <si>
    <t>STORE45</t>
  </si>
  <si>
    <t>STORE48</t>
  </si>
  <si>
    <t>STORE25</t>
  </si>
  <si>
    <t>STORE1</t>
  </si>
  <si>
    <t>STORE11</t>
  </si>
  <si>
    <t>STORE34</t>
  </si>
  <si>
    <t>STORE28</t>
  </si>
  <si>
    <t>STORE20</t>
  </si>
  <si>
    <t>STORE19</t>
  </si>
  <si>
    <t>T-shirt</t>
  </si>
  <si>
    <t>Sneakers</t>
  </si>
  <si>
    <t>Backpack</t>
  </si>
  <si>
    <t>Gloves</t>
  </si>
  <si>
    <t>Hat</t>
  </si>
  <si>
    <t>Jacket</t>
  </si>
  <si>
    <t>Scarf</t>
  </si>
  <si>
    <t>Jeans</t>
  </si>
  <si>
    <t>Delivery Date</t>
  </si>
  <si>
    <t>Kate Smith</t>
  </si>
  <si>
    <t>John Bell</t>
  </si>
  <si>
    <t>Michael Jones</t>
  </si>
  <si>
    <t>Laura Brown</t>
  </si>
  <si>
    <t>Total Sales before discount</t>
  </si>
  <si>
    <t>Total Sales after discount</t>
  </si>
  <si>
    <t>Sum of Total Sales after discount</t>
  </si>
  <si>
    <t>BRS</t>
  </si>
  <si>
    <t>LIV</t>
  </si>
  <si>
    <t>MAN</t>
  </si>
  <si>
    <t>NCL</t>
  </si>
  <si>
    <t>LDS</t>
  </si>
  <si>
    <t>LDN</t>
  </si>
  <si>
    <t>SHF</t>
  </si>
  <si>
    <t>BHM</t>
  </si>
  <si>
    <t>Jan</t>
  </si>
  <si>
    <t>Feb</t>
  </si>
  <si>
    <t>Mar</t>
  </si>
  <si>
    <t>Apr</t>
  </si>
  <si>
    <t>May</t>
  </si>
  <si>
    <t>Jun</t>
  </si>
  <si>
    <t>Jul</t>
  </si>
  <si>
    <t>Aug</t>
  </si>
  <si>
    <t>Sep</t>
  </si>
  <si>
    <t>Oct</t>
  </si>
  <si>
    <t>Nov</t>
  </si>
  <si>
    <t>Dec</t>
  </si>
  <si>
    <t>Q1</t>
  </si>
  <si>
    <t>Q2</t>
  </si>
  <si>
    <t>Q3</t>
  </si>
  <si>
    <t>Q4</t>
  </si>
  <si>
    <t>Total sum</t>
  </si>
  <si>
    <t>Row label</t>
  </si>
  <si>
    <t>Sum of otal Sales after discount</t>
  </si>
  <si>
    <t>top stores revenue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</si>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</sst>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 &quot;zł&quot;_-;\-* #,##0.00\ &quot;zł&quot;_-;_-* &quot;-&quot;??\ &quot;zł&quot;_-;_-@_-"/>
    <numFmt numFmtId="165" formatCode="yyyy\-mm\-dd;@"/>
    <numFmt numFmtId="166" formatCode="[$£-809]#,##0.00;\-[$£-809]#,##0.00"/>
    <numFmt numFmtId="167" formatCode="&quot;£&quot;#,##0"/>
    <numFmt numFmtId="168"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24">
    <xf numFmtId="0" fontId="0" fillId="0" borderId="0" xfId="0"/>
    <xf numFmtId="0" fontId="0" fillId="0" borderId="0" xfId="0" applyAlignment="1">
      <alignment wrapText="1"/>
    </xf>
    <xf numFmtId="0" fontId="0" fillId="0" borderId="0" xfId="0" applyAlignment="1">
      <alignment horizontal="right"/>
    </xf>
    <xf numFmtId="0" fontId="0" fillId="0" borderId="0" xfId="0" applyAlignment="1">
      <alignment horizontal="center"/>
    </xf>
    <xf numFmtId="165" fontId="0" fillId="0" borderId="0" xfId="0" applyNumberFormat="1"/>
    <xf numFmtId="1" fontId="0" fillId="0" borderId="0" xfId="0" applyNumberFormat="1" applyAlignment="1">
      <alignment horizontal="center"/>
    </xf>
    <xf numFmtId="9" fontId="0" fillId="0" borderId="0" xfId="2" applyFont="1" applyAlignment="1">
      <alignment horizontal="center"/>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wrapText="1"/>
    </xf>
    <xf numFmtId="9" fontId="1" fillId="0" borderId="1" xfId="2" applyFont="1" applyBorder="1" applyAlignment="1">
      <alignment horizontal="center" vertical="center" wrapText="1"/>
    </xf>
    <xf numFmtId="165" fontId="1"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wrapText="1"/>
    </xf>
    <xf numFmtId="166" fontId="0" fillId="0" borderId="0" xfId="0" applyNumberFormat="1"/>
    <xf numFmtId="166" fontId="1" fillId="0" borderId="1" xfId="1" applyNumberFormat="1" applyFont="1" applyBorder="1" applyAlignment="1">
      <alignment horizontal="center" vertical="center" wrapText="1"/>
    </xf>
    <xf numFmtId="166" fontId="0" fillId="0" borderId="0" xfId="1" applyNumberFormat="1" applyFont="1"/>
    <xf numFmtId="0" fontId="0" fillId="0" borderId="0" xfId="0" applyAlignment="1">
      <alignment horizontal="left"/>
    </xf>
    <xf numFmtId="0" fontId="0" fillId="0" borderId="0" xfId="0" applyAlignment="1">
      <alignment horizontal="left" indent="1"/>
    </xf>
    <xf numFmtId="4" fontId="0" fillId="0" borderId="0" xfId="0" applyNumberFormat="1"/>
    <xf numFmtId="10" fontId="0" fillId="0" borderId="0" xfId="0" applyNumberFormat="1"/>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167" fontId="0" fillId="0" borderId="0" xfId="0" applyNumberFormat="1"/>
    <xf numFmtId="168" fontId="0" fillId="0" borderId="0" xfId="2" applyNumberFormat="1" applyFont="1"/>
  </cellXfs>
  <cellStyles count="3">
    <cellStyle name="Normalny" xfId="0" builtinId="0"/>
    <cellStyle name="Procentowy" xfId="2" builtinId="5"/>
    <cellStyle name="Walutowy" xfId="1" builtinId="4"/>
  </cellStyles>
  <dxfs count="53">
    <dxf>
      <numFmt numFmtId="4" formatCode="#,##0.00"/>
    </dxf>
    <dxf>
      <numFmt numFmtId="4" formatCode="#,##0.00"/>
    </dxf>
    <dxf>
      <numFmt numFmtId="4" formatCode="#,##0.00"/>
    </dxf>
    <dxf>
      <numFmt numFmtId="14" formatCode="0.00%"/>
    </dxf>
    <dxf>
      <alignment wrapText="1"/>
    </dxf>
    <dxf>
      <alignment wrapText="1"/>
    </dxf>
    <dxf>
      <alignment horizontal="center"/>
    </dxf>
    <dxf>
      <alignment horizontal="center"/>
    </dxf>
    <dxf>
      <alignment vertical="center"/>
    </dxf>
    <dxf>
      <alignment vertical="center"/>
    </dxf>
    <dxf>
      <numFmt numFmtId="167" formatCode="&quot;£&quot;#,##0"/>
    </dxf>
    <dxf>
      <numFmt numFmtId="166" formatCode="[$£-809]#,##0.00;\-[$£-809]#,##0.00"/>
    </dxf>
    <dxf>
      <numFmt numFmtId="166" formatCode="[$£-809]#,##0.00;\-[$£-809]#,##0.00"/>
    </dxf>
    <dxf>
      <numFmt numFmtId="166" formatCode="[$£-809]#,##0.00;\-[$£-809]#,##0.00"/>
    </dxf>
    <dxf>
      <alignment horizontal="center" textRotation="0" wrapText="0" indent="0" justifyLastLine="0" shrinkToFit="0" readingOrder="0"/>
    </dxf>
    <dxf>
      <numFmt numFmtId="1" formatCode="0"/>
      <alignment horizontal="center" textRotation="0" wrapText="0" indent="0" justifyLastLine="0" shrinkToFit="0" readingOrder="0"/>
    </dxf>
    <dxf>
      <alignment horizontal="center"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5" formatCode="yyyy\-mm\-dd;@"/>
    </dxf>
    <dxf>
      <numFmt numFmtId="165" formatCode="yyyy\-mm\-dd;@"/>
    </dxf>
    <dxf>
      <alignment horizontal="center" textRotation="0" wrapText="0" indent="0" justifyLastLine="0" shrinkToFit="0" readingOrder="0"/>
    </dxf>
    <dxf>
      <alignment horizontal="center" textRotation="0" wrapText="0" indent="0" justifyLastLine="0" shrinkToFit="0" readingOrder="0"/>
    </dxf>
    <dxf>
      <alignment horizontal="right"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
      <numFmt numFmtId="167" formatCode="&quot;£&quot;#,##0"/>
    </dxf>
    <dxf>
      <alignment horizontal="center"/>
    </dxf>
    <dxf>
      <alignment horizontal="center"/>
    </dxf>
    <dxf>
      <alignment vertical="center"/>
    </dxf>
    <dxf>
      <alignment vertical="center"/>
    </dxf>
    <dxf>
      <alignment wrapText="1"/>
    </dxf>
    <dxf>
      <alignment wrapText="1"/>
    </dxf>
    <dxf>
      <numFmt numFmtId="4" formatCode="#,##0.00"/>
    </dxf>
    <dxf>
      <numFmt numFmtId="167" formatCode="&quot;£&quot;#,##0"/>
    </dxf>
    <dxf>
      <alignment horizontal="center"/>
    </dxf>
    <dxf>
      <alignment horizontal="center"/>
    </dxf>
    <dxf>
      <alignment vertical="center"/>
    </dxf>
    <dxf>
      <alignment wrapText="1"/>
    </dxf>
    <dxf>
      <alignment wrapText="1"/>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sz val="8"/>
        <color theme="3" tint="-0.24994659260841701"/>
      </font>
      <fill>
        <patternFill>
          <bgColor theme="4" tint="0.59996337778862885"/>
        </patternFill>
      </fill>
    </dxf>
    <dxf>
      <font>
        <sz val="8"/>
      </font>
      <fill>
        <patternFill>
          <bgColor theme="3" tint="0.79998168889431442"/>
        </patternFill>
      </fill>
      <border diagonalUp="0" diagonalDown="0">
        <left/>
        <right/>
        <top/>
        <bottom/>
        <vertical/>
        <horizontal/>
      </border>
    </dxf>
  </dxfs>
  <tableStyles count="2" defaultTableStyle="TableStyleMedium9" defaultPivotStyle="PivotStyleLight16">
    <tableStyle name="Blue" pivot="0" table="0" count="4" xr9:uid="{A3E9B5E7-A47C-4542-A734-75A3D3F8A26B}">
      <tableStyleElement type="wholeTable" dxfId="52"/>
      <tableStyleElement type="headerRow" dxfId="51"/>
    </tableStyle>
    <tableStyle name="Styl fragmentatora 1" pivot="0" table="0" count="0" xr9:uid="{2846BB1D-4101-4449-B776-4E428A44CBBB}"/>
  </tableStyles>
  <colors>
    <mruColors>
      <color rgb="FFC2CA1E"/>
    </mruColors>
  </colors>
  <extLst>
    <ext xmlns:x14="http://schemas.microsoft.com/office/spreadsheetml/2009/9/main" uri="{46F421CA-312F-682f-3DD2-61675219B42D}">
      <x14:dxfs count="2">
        <dxf>
          <font>
            <sz val="8"/>
            <color theme="3" tint="0.79995117038483843"/>
          </font>
          <fill>
            <patternFill>
              <bgColor theme="4" tint="-0.24994659260841701"/>
            </patternFill>
          </fill>
        </dxf>
        <dxf>
          <font>
            <sz val="8"/>
            <color theme="3" tint="-0.24994659260841701"/>
          </font>
          <fill>
            <patternFill>
              <bgColor theme="4"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x14:slicerStyleElements>
            <x14:slicerStyleElement type="unselectedItemWithData" dxfId="1"/>
            <x14:slicerStyleElement type="selectedItemWithData" dxfId="0"/>
          </x14:slicerStyleElements>
        </x14:slicerStyle>
        <x14:slicerStyle name="Styl fragmentatora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DASHBOARD project.xlsx]sales_progress!PivotTable1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sales_progress!$B$3</c:f>
              <c:strCache>
                <c:ptCount val="1"/>
                <c:pt idx="0">
                  <c:v>Suma</c:v>
                </c:pt>
              </c:strCache>
            </c:strRef>
          </c:tx>
          <c:spPr>
            <a:ln w="28575" cap="rnd">
              <a:solidFill>
                <a:schemeClr val="tx2">
                  <a:lumMod val="50000"/>
                </a:schemeClr>
              </a:solidFill>
              <a:round/>
            </a:ln>
            <a:effectLst/>
          </c:spPr>
          <c:marker>
            <c:symbol val="none"/>
          </c:marker>
          <c:cat>
            <c:multiLvlStrRef>
              <c:f>sales_progress!$A$4:$A$20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sales_progress!$B$4:$B$20</c:f>
              <c:numCache>
                <c:formatCode>"£"#,##0</c:formatCode>
                <c:ptCount val="12"/>
                <c:pt idx="0">
                  <c:v>848.35249999999996</c:v>
                </c:pt>
                <c:pt idx="1">
                  <c:v>784.41899999999998</c:v>
                </c:pt>
                <c:pt idx="2">
                  <c:v>1136.2255</c:v>
                </c:pt>
                <c:pt idx="3">
                  <c:v>650.18679999999995</c:v>
                </c:pt>
                <c:pt idx="4">
                  <c:v>1228.6659999999999</c:v>
                </c:pt>
                <c:pt idx="5">
                  <c:v>862.56119999999987</c:v>
                </c:pt>
                <c:pt idx="6">
                  <c:v>789.21019999999987</c:v>
                </c:pt>
                <c:pt idx="7">
                  <c:v>705.85180000000003</c:v>
                </c:pt>
                <c:pt idx="8">
                  <c:v>165.774</c:v>
                </c:pt>
                <c:pt idx="9">
                  <c:v>179.768</c:v>
                </c:pt>
                <c:pt idx="10">
                  <c:v>722.0625</c:v>
                </c:pt>
                <c:pt idx="11">
                  <c:v>312.45840000000004</c:v>
                </c:pt>
              </c:numCache>
            </c:numRef>
          </c:val>
          <c:smooth val="0"/>
          <c:extLst>
            <c:ext xmlns:c16="http://schemas.microsoft.com/office/drawing/2014/chart" uri="{C3380CC4-5D6E-409C-BE32-E72D297353CC}">
              <c16:uniqueId val="{00000001-7B15-4F9B-909A-49C59A7076BC}"/>
            </c:ext>
          </c:extLst>
        </c:ser>
        <c:dLbls>
          <c:showLegendKey val="0"/>
          <c:showVal val="0"/>
          <c:showCatName val="0"/>
          <c:showSerName val="0"/>
          <c:showPercent val="0"/>
          <c:showBubbleSize val="0"/>
        </c:dLbls>
        <c:smooth val="0"/>
        <c:axId val="191175232"/>
        <c:axId val="191177152"/>
      </c:lineChart>
      <c:catAx>
        <c:axId val="1911752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191177152"/>
        <c:crosses val="autoZero"/>
        <c:auto val="1"/>
        <c:lblAlgn val="ctr"/>
        <c:lblOffset val="100"/>
        <c:noMultiLvlLbl val="0"/>
      </c:catAx>
      <c:valAx>
        <c:axId val="191177152"/>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117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 DASHBOARD project.xlsx]revenue-generating_stores!Tabela przestawna1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'revenue-generating_stores'!$B$5</c:f>
              <c:strCache>
                <c:ptCount val="1"/>
                <c:pt idx="0">
                  <c:v>Suma</c:v>
                </c:pt>
              </c:strCache>
            </c:strRef>
          </c:tx>
          <c:spPr>
            <a:solidFill>
              <a:schemeClr val="accent1"/>
            </a:solidFill>
            <a:ln>
              <a:solidFill>
                <a:schemeClr val="accent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'revenue-generating_stores'!$A$6:$A$11</c:f>
              <c:strCache>
                <c:ptCount val="5"/>
                <c:pt idx="0">
                  <c:v>STORE12</c:v>
                </c:pt>
                <c:pt idx="1">
                  <c:v>STORE38</c:v>
                </c:pt>
                <c:pt idx="2">
                  <c:v>STORE46</c:v>
                </c:pt>
                <c:pt idx="3">
                  <c:v>STORE23</c:v>
                </c:pt>
                <c:pt idx="4">
                  <c:v>STORE13</c:v>
                </c:pt>
              </c:strCache>
            </c:strRef>
          </c:cat>
          <c:val>
            <c:numRef>
              <c:f>'revenue-generating_stores'!$B$6:$B$11</c:f>
              <c:numCache>
                <c:formatCode>"£"#,##0</c:formatCode>
                <c:ptCount val="5"/>
                <c:pt idx="0">
                  <c:v>733.66700000000003</c:v>
                </c:pt>
                <c:pt idx="1">
                  <c:v>511.16159999999996</c:v>
                </c:pt>
                <c:pt idx="2">
                  <c:v>470.3931</c:v>
                </c:pt>
                <c:pt idx="3">
                  <c:v>404.33019999999999</c:v>
                </c:pt>
                <c:pt idx="4">
                  <c:v>383.37720000000002</c:v>
                </c:pt>
              </c:numCache>
            </c:numRef>
          </c:val>
          <c:extLst>
            <c:ext xmlns:c16="http://schemas.microsoft.com/office/drawing/2014/chart" uri="{C3380CC4-5D6E-409C-BE32-E72D297353CC}">
              <c16:uniqueId val="{00000000-7B15-4F9B-909A-49C59A7076BC}"/>
            </c:ext>
          </c:extLst>
        </c:ser>
        <c:dLbls>
          <c:showLegendKey val="0"/>
          <c:showVal val="0"/>
          <c:showCatName val="0"/>
          <c:showSerName val="0"/>
          <c:showPercent val="0"/>
          <c:showBubbleSize val="0"/>
        </c:dLbls>
        <c:gapWidth val="54"/>
        <c:axId val="191175232"/>
        <c:axId val="191177152"/>
      </c:barChart>
      <c:catAx>
        <c:axId val="1911752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191177152"/>
        <c:crosses val="autoZero"/>
        <c:auto val="1"/>
        <c:lblAlgn val="ctr"/>
        <c:lblOffset val="100"/>
        <c:noMultiLvlLbl val="0"/>
      </c:catAx>
      <c:valAx>
        <c:axId val="191177152"/>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lumMod val="75000"/>
                  </a:schemeClr>
                </a:solidFill>
                <a:latin typeface="+mn-lt"/>
                <a:ea typeface="+mn-ea"/>
                <a:cs typeface="+mn-cs"/>
              </a:defRPr>
            </a:pPr>
            <a:endParaRPr lang="en-US"/>
          </a:p>
        </c:txPr>
        <c:crossAx val="19117523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 DASHBOARD project.xlsx]warehouse_sales!Tabela przestawna2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ysClr val="window" lastClr="FFFFFF">
                <a:lumMod val="85000"/>
              </a:sys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ysClr val="window" lastClr="FFFFFF">
                <a:lumMod val="85000"/>
              </a:sysClr>
            </a:solidFill>
            <a:round/>
          </a:ln>
          <a:effectLst/>
        </c:spPr>
        <c:marker>
          <c:symbol val="none"/>
        </c:marker>
      </c:pivotFmt>
      <c:pivotFmt>
        <c:idx val="6"/>
        <c:spPr>
          <a:ln w="28575" cap="rnd">
            <a:solidFill>
              <a:sysClr val="window" lastClr="FFFFFF">
                <a:lumMod val="85000"/>
              </a:sysClr>
            </a:solidFill>
            <a:round/>
          </a:ln>
          <a:effectLst/>
        </c:spPr>
        <c:marker>
          <c:symbol val="none"/>
        </c:marker>
      </c:pivotFmt>
      <c:pivotFmt>
        <c:idx val="7"/>
        <c:spPr>
          <a:ln w="28575" cap="rnd">
            <a:solidFill>
              <a:sysClr val="window" lastClr="FFFFFF">
                <a:lumMod val="85000"/>
              </a:sysClr>
            </a:solidFill>
            <a:round/>
          </a:ln>
          <a:effectLst/>
        </c:spPr>
        <c:marker>
          <c:symbol val="none"/>
        </c:marker>
      </c:pivotFmt>
    </c:pivotFmts>
    <c:plotArea>
      <c:layout/>
      <c:barChart>
        <c:barDir val="col"/>
        <c:grouping val="clustered"/>
        <c:varyColors val="0"/>
        <c:ser>
          <c:idx val="0"/>
          <c:order val="0"/>
          <c:tx>
            <c:strRef>
              <c:f>warehouse_sales!$B$4</c:f>
              <c:strCache>
                <c:ptCount val="1"/>
                <c:pt idx="0">
                  <c:v>Sum of Total Sales after discount</c:v>
                </c:pt>
              </c:strCache>
            </c:strRef>
          </c:tx>
          <c:spPr>
            <a:solidFill>
              <a:schemeClr val="accent1"/>
            </a:solidFill>
            <a:ln>
              <a:solidFill>
                <a:schemeClr val="accent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warehouse_sales!$A$5:$A$13</c:f>
              <c:strCache>
                <c:ptCount val="8"/>
                <c:pt idx="0">
                  <c:v>LDN</c:v>
                </c:pt>
                <c:pt idx="1">
                  <c:v>BHM</c:v>
                </c:pt>
                <c:pt idx="2">
                  <c:v>SHF</c:v>
                </c:pt>
                <c:pt idx="3">
                  <c:v>LIV</c:v>
                </c:pt>
                <c:pt idx="4">
                  <c:v>NCL</c:v>
                </c:pt>
                <c:pt idx="5">
                  <c:v>LDS</c:v>
                </c:pt>
                <c:pt idx="6">
                  <c:v>BRS</c:v>
                </c:pt>
                <c:pt idx="7">
                  <c:v>MAN</c:v>
                </c:pt>
              </c:strCache>
            </c:strRef>
          </c:cat>
          <c:val>
            <c:numRef>
              <c:f>warehouse_sales!$B$5:$B$13</c:f>
              <c:numCache>
                <c:formatCode>"£"#,##0</c:formatCode>
                <c:ptCount val="8"/>
                <c:pt idx="0">
                  <c:v>1718.932</c:v>
                </c:pt>
                <c:pt idx="1">
                  <c:v>1303.8926999999999</c:v>
                </c:pt>
                <c:pt idx="2">
                  <c:v>1130.5851999999998</c:v>
                </c:pt>
                <c:pt idx="3">
                  <c:v>1065.9417999999998</c:v>
                </c:pt>
                <c:pt idx="4">
                  <c:v>1056.2973999999999</c:v>
                </c:pt>
                <c:pt idx="5">
                  <c:v>926.60790000000009</c:v>
                </c:pt>
                <c:pt idx="6">
                  <c:v>857.62769999999989</c:v>
                </c:pt>
                <c:pt idx="7">
                  <c:v>325.65120000000007</c:v>
                </c:pt>
              </c:numCache>
            </c:numRef>
          </c:val>
          <c:extLst>
            <c:ext xmlns:c16="http://schemas.microsoft.com/office/drawing/2014/chart" uri="{C3380CC4-5D6E-409C-BE32-E72D297353CC}">
              <c16:uniqueId val="{00000000-7B15-4F9B-909A-49C59A7076BC}"/>
            </c:ext>
          </c:extLst>
        </c:ser>
        <c:dLbls>
          <c:showLegendKey val="0"/>
          <c:showVal val="0"/>
          <c:showCatName val="0"/>
          <c:showSerName val="0"/>
          <c:showPercent val="0"/>
          <c:showBubbleSize val="0"/>
        </c:dLbls>
        <c:gapWidth val="63"/>
        <c:axId val="191175232"/>
        <c:axId val="191177152"/>
      </c:barChart>
      <c:lineChart>
        <c:grouping val="standard"/>
        <c:varyColors val="0"/>
        <c:ser>
          <c:idx val="1"/>
          <c:order val="1"/>
          <c:tx>
            <c:strRef>
              <c:f>warehouse_sales!$C$4</c:f>
              <c:strCache>
                <c:ptCount val="1"/>
                <c:pt idx="0">
                  <c:v>Sum of otal Sales after discount</c:v>
                </c:pt>
              </c:strCache>
            </c:strRef>
          </c:tx>
          <c:spPr>
            <a:ln w="28575" cap="rnd">
              <a:solidFill>
                <a:sysClr val="window" lastClr="FFFFFF">
                  <a:lumMod val="85000"/>
                </a:sysClr>
              </a:solidFill>
              <a:round/>
            </a:ln>
            <a:effectLst/>
          </c:spPr>
          <c:marker>
            <c:symbol val="none"/>
          </c:marker>
          <c:cat>
            <c:strRef>
              <c:f>warehouse_sales!$A$5:$A$13</c:f>
              <c:strCache>
                <c:ptCount val="8"/>
                <c:pt idx="0">
                  <c:v>LDN</c:v>
                </c:pt>
                <c:pt idx="1">
                  <c:v>BHM</c:v>
                </c:pt>
                <c:pt idx="2">
                  <c:v>SHF</c:v>
                </c:pt>
                <c:pt idx="3">
                  <c:v>LIV</c:v>
                </c:pt>
                <c:pt idx="4">
                  <c:v>NCL</c:v>
                </c:pt>
                <c:pt idx="5">
                  <c:v>LDS</c:v>
                </c:pt>
                <c:pt idx="6">
                  <c:v>BRS</c:v>
                </c:pt>
                <c:pt idx="7">
                  <c:v>MAN</c:v>
                </c:pt>
              </c:strCache>
            </c:strRef>
          </c:cat>
          <c:val>
            <c:numRef>
              <c:f>warehouse_sales!$C$5:$C$13</c:f>
              <c:numCache>
                <c:formatCode>0.00%</c:formatCode>
                <c:ptCount val="8"/>
                <c:pt idx="0">
                  <c:v>0.20498773369988199</c:v>
                </c:pt>
                <c:pt idx="1">
                  <c:v>0.36048080123298981</c:v>
                </c:pt>
                <c:pt idx="2">
                  <c:v>0.49530643593094631</c:v>
                </c:pt>
                <c:pt idx="3">
                  <c:v>0.6224231536591478</c:v>
                </c:pt>
                <c:pt idx="4">
                  <c:v>0.7483897481137729</c:v>
                </c:pt>
                <c:pt idx="5">
                  <c:v>0.85889048546080393</c:v>
                </c:pt>
                <c:pt idx="6">
                  <c:v>0.96116512958939215</c:v>
                </c:pt>
                <c:pt idx="7">
                  <c:v>1</c:v>
                </c:pt>
              </c:numCache>
            </c:numRef>
          </c:val>
          <c:smooth val="0"/>
          <c:extLst>
            <c:ext xmlns:c16="http://schemas.microsoft.com/office/drawing/2014/chart" uri="{C3380CC4-5D6E-409C-BE32-E72D297353CC}">
              <c16:uniqueId val="{00000003-2980-4FBC-B115-24F742013704}"/>
            </c:ext>
          </c:extLst>
        </c:ser>
        <c:dLbls>
          <c:showLegendKey val="0"/>
          <c:showVal val="0"/>
          <c:showCatName val="0"/>
          <c:showSerName val="0"/>
          <c:showPercent val="0"/>
          <c:showBubbleSize val="0"/>
        </c:dLbls>
        <c:marker val="1"/>
        <c:smooth val="0"/>
        <c:axId val="492914208"/>
        <c:axId val="492916608"/>
      </c:lineChart>
      <c:catAx>
        <c:axId val="1911752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1177152"/>
        <c:crosses val="autoZero"/>
        <c:auto val="1"/>
        <c:lblAlgn val="ctr"/>
        <c:lblOffset val="100"/>
        <c:noMultiLvlLbl val="0"/>
      </c:catAx>
      <c:valAx>
        <c:axId val="191177152"/>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2">
                    <a:lumMod val="75000"/>
                  </a:schemeClr>
                </a:solidFill>
                <a:latin typeface="+mn-lt"/>
                <a:ea typeface="+mn-ea"/>
                <a:cs typeface="+mn-cs"/>
              </a:defRPr>
            </a:pPr>
            <a:endParaRPr lang="en-US"/>
          </a:p>
        </c:txPr>
        <c:crossAx val="191175232"/>
        <c:crosses val="autoZero"/>
        <c:crossBetween val="between"/>
      </c:valAx>
      <c:valAx>
        <c:axId val="492916608"/>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2">
                    <a:lumMod val="75000"/>
                  </a:schemeClr>
                </a:solidFill>
                <a:latin typeface="+mn-lt"/>
                <a:ea typeface="+mn-ea"/>
                <a:cs typeface="+mn-cs"/>
              </a:defRPr>
            </a:pPr>
            <a:endParaRPr lang="en-US"/>
          </a:p>
        </c:txPr>
        <c:crossAx val="492914208"/>
        <c:crosses val="max"/>
        <c:crossBetween val="between"/>
        <c:majorUnit val="0.2"/>
        <c:minorUnit val="4.0000000000000008E-2"/>
      </c:valAx>
      <c:catAx>
        <c:axId val="492914208"/>
        <c:scaling>
          <c:orientation val="minMax"/>
        </c:scaling>
        <c:delete val="1"/>
        <c:axPos val="b"/>
        <c:numFmt formatCode="General" sourceLinked="1"/>
        <c:majorTickMark val="out"/>
        <c:minorTickMark val="none"/>
        <c:tickLblPos val="nextTo"/>
        <c:crossAx val="492916608"/>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DASHBOARD project.xlsx]sales_progress!PivotTable1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sales_progress!$B$3</c:f>
              <c:strCache>
                <c:ptCount val="1"/>
                <c:pt idx="0">
                  <c:v>Suma</c:v>
                </c:pt>
              </c:strCache>
            </c:strRef>
          </c:tx>
          <c:spPr>
            <a:ln w="28575" cap="rnd">
              <a:solidFill>
                <a:schemeClr val="accent1"/>
              </a:solidFill>
              <a:round/>
            </a:ln>
            <a:effectLst/>
          </c:spPr>
          <c:marker>
            <c:symbol val="none"/>
          </c:marker>
          <c:cat>
            <c:multiLvlStrRef>
              <c:f>sales_progress!$A$4:$A$20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sales_progress!$B$4:$B$20</c:f>
              <c:numCache>
                <c:formatCode>"£"#,##0</c:formatCode>
                <c:ptCount val="12"/>
                <c:pt idx="0">
                  <c:v>848.35249999999996</c:v>
                </c:pt>
                <c:pt idx="1">
                  <c:v>784.41899999999998</c:v>
                </c:pt>
                <c:pt idx="2">
                  <c:v>1136.2255</c:v>
                </c:pt>
                <c:pt idx="3">
                  <c:v>650.18679999999995</c:v>
                </c:pt>
                <c:pt idx="4">
                  <c:v>1228.6659999999999</c:v>
                </c:pt>
                <c:pt idx="5">
                  <c:v>862.56119999999987</c:v>
                </c:pt>
                <c:pt idx="6">
                  <c:v>789.21019999999987</c:v>
                </c:pt>
                <c:pt idx="7">
                  <c:v>705.85180000000003</c:v>
                </c:pt>
                <c:pt idx="8">
                  <c:v>165.774</c:v>
                </c:pt>
                <c:pt idx="9">
                  <c:v>179.768</c:v>
                </c:pt>
                <c:pt idx="10">
                  <c:v>722.0625</c:v>
                </c:pt>
                <c:pt idx="11">
                  <c:v>312.45840000000004</c:v>
                </c:pt>
              </c:numCache>
            </c:numRef>
          </c:val>
          <c:smooth val="0"/>
          <c:extLst>
            <c:ext xmlns:c16="http://schemas.microsoft.com/office/drawing/2014/chart" uri="{C3380CC4-5D6E-409C-BE32-E72D297353CC}">
              <c16:uniqueId val="{00000000-B86B-4AF8-BEDF-04D4FFC3879F}"/>
            </c:ext>
          </c:extLst>
        </c:ser>
        <c:dLbls>
          <c:showLegendKey val="0"/>
          <c:showVal val="0"/>
          <c:showCatName val="0"/>
          <c:showSerName val="0"/>
          <c:showPercent val="0"/>
          <c:showBubbleSize val="0"/>
        </c:dLbls>
        <c:smooth val="0"/>
        <c:axId val="191175232"/>
        <c:axId val="191177152"/>
      </c:lineChart>
      <c:catAx>
        <c:axId val="1911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77152"/>
        <c:crosses val="autoZero"/>
        <c:auto val="1"/>
        <c:lblAlgn val="ctr"/>
        <c:lblOffset val="100"/>
        <c:noMultiLvlLbl val="0"/>
      </c:catAx>
      <c:valAx>
        <c:axId val="191177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7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DASHBOARD project.xlsx]revenue-generating_stores!Tabela przestawna1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'revenue-generating_stores'!$B$5</c:f>
              <c:strCache>
                <c:ptCount val="1"/>
                <c:pt idx="0">
                  <c:v>Suma</c:v>
                </c:pt>
              </c:strCache>
            </c:strRef>
          </c:tx>
          <c:spPr>
            <a:solidFill>
              <a:schemeClr val="accent1"/>
            </a:solidFill>
            <a:ln>
              <a:noFill/>
            </a:ln>
            <a:effectLst/>
          </c:spPr>
          <c:invertIfNegative val="0"/>
          <c:cat>
            <c:strRef>
              <c:f>'revenue-generating_stores'!$A$6:$A$11</c:f>
              <c:strCache>
                <c:ptCount val="5"/>
                <c:pt idx="0">
                  <c:v>STORE12</c:v>
                </c:pt>
                <c:pt idx="1">
                  <c:v>STORE38</c:v>
                </c:pt>
                <c:pt idx="2">
                  <c:v>STORE46</c:v>
                </c:pt>
                <c:pt idx="3">
                  <c:v>STORE23</c:v>
                </c:pt>
                <c:pt idx="4">
                  <c:v>STORE13</c:v>
                </c:pt>
              </c:strCache>
            </c:strRef>
          </c:cat>
          <c:val>
            <c:numRef>
              <c:f>'revenue-generating_stores'!$B$6:$B$11</c:f>
              <c:numCache>
                <c:formatCode>"£"#,##0</c:formatCode>
                <c:ptCount val="5"/>
                <c:pt idx="0">
                  <c:v>733.66700000000003</c:v>
                </c:pt>
                <c:pt idx="1">
                  <c:v>511.16159999999996</c:v>
                </c:pt>
                <c:pt idx="2">
                  <c:v>470.3931</c:v>
                </c:pt>
                <c:pt idx="3">
                  <c:v>404.33019999999999</c:v>
                </c:pt>
                <c:pt idx="4">
                  <c:v>383.37720000000002</c:v>
                </c:pt>
              </c:numCache>
            </c:numRef>
          </c:val>
          <c:extLst>
            <c:ext xmlns:c16="http://schemas.microsoft.com/office/drawing/2014/chart" uri="{C3380CC4-5D6E-409C-BE32-E72D297353CC}">
              <c16:uniqueId val="{00000000-AEFF-489F-941B-07657B3F1D4B}"/>
            </c:ext>
          </c:extLst>
        </c:ser>
        <c:dLbls>
          <c:showLegendKey val="0"/>
          <c:showVal val="0"/>
          <c:showCatName val="0"/>
          <c:showSerName val="0"/>
          <c:showPercent val="0"/>
          <c:showBubbleSize val="0"/>
        </c:dLbls>
        <c:gapWidth val="219"/>
        <c:overlap val="-27"/>
        <c:axId val="197610944"/>
        <c:axId val="105291360"/>
      </c:barChart>
      <c:catAx>
        <c:axId val="19761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1360"/>
        <c:crosses val="autoZero"/>
        <c:auto val="1"/>
        <c:lblAlgn val="ctr"/>
        <c:lblOffset val="100"/>
        <c:noMultiLvlLbl val="0"/>
      </c:catAx>
      <c:valAx>
        <c:axId val="105291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DASHBOARD project.xlsx]warehouse_sales!Tabela przestawna2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warehouse_sales!$B$4</c:f>
              <c:strCache>
                <c:ptCount val="1"/>
                <c:pt idx="0">
                  <c:v>Sum of Total Sales after discount</c:v>
                </c:pt>
              </c:strCache>
            </c:strRef>
          </c:tx>
          <c:spPr>
            <a:solidFill>
              <a:schemeClr val="accent1"/>
            </a:solidFill>
            <a:ln>
              <a:noFill/>
            </a:ln>
            <a:effectLst/>
          </c:spPr>
          <c:invertIfNegative val="0"/>
          <c:cat>
            <c:strRef>
              <c:f>warehouse_sales!$A$5:$A$13</c:f>
              <c:strCache>
                <c:ptCount val="8"/>
                <c:pt idx="0">
                  <c:v>LDN</c:v>
                </c:pt>
                <c:pt idx="1">
                  <c:v>BHM</c:v>
                </c:pt>
                <c:pt idx="2">
                  <c:v>SHF</c:v>
                </c:pt>
                <c:pt idx="3">
                  <c:v>LIV</c:v>
                </c:pt>
                <c:pt idx="4">
                  <c:v>NCL</c:v>
                </c:pt>
                <c:pt idx="5">
                  <c:v>LDS</c:v>
                </c:pt>
                <c:pt idx="6">
                  <c:v>BRS</c:v>
                </c:pt>
                <c:pt idx="7">
                  <c:v>MAN</c:v>
                </c:pt>
              </c:strCache>
            </c:strRef>
          </c:cat>
          <c:val>
            <c:numRef>
              <c:f>warehouse_sales!$B$5:$B$13</c:f>
              <c:numCache>
                <c:formatCode>"£"#,##0</c:formatCode>
                <c:ptCount val="8"/>
                <c:pt idx="0">
                  <c:v>1718.932</c:v>
                </c:pt>
                <c:pt idx="1">
                  <c:v>1303.8926999999999</c:v>
                </c:pt>
                <c:pt idx="2">
                  <c:v>1130.5851999999998</c:v>
                </c:pt>
                <c:pt idx="3">
                  <c:v>1065.9417999999998</c:v>
                </c:pt>
                <c:pt idx="4">
                  <c:v>1056.2973999999999</c:v>
                </c:pt>
                <c:pt idx="5">
                  <c:v>926.60790000000009</c:v>
                </c:pt>
                <c:pt idx="6">
                  <c:v>857.62769999999989</c:v>
                </c:pt>
                <c:pt idx="7">
                  <c:v>325.65120000000007</c:v>
                </c:pt>
              </c:numCache>
            </c:numRef>
          </c:val>
          <c:extLst>
            <c:ext xmlns:c16="http://schemas.microsoft.com/office/drawing/2014/chart" uri="{C3380CC4-5D6E-409C-BE32-E72D297353CC}">
              <c16:uniqueId val="{00000000-F4AE-4F87-9FDC-11AEC0CF047A}"/>
            </c:ext>
          </c:extLst>
        </c:ser>
        <c:dLbls>
          <c:showLegendKey val="0"/>
          <c:showVal val="0"/>
          <c:showCatName val="0"/>
          <c:showSerName val="0"/>
          <c:showPercent val="0"/>
          <c:showBubbleSize val="0"/>
        </c:dLbls>
        <c:gapWidth val="219"/>
        <c:overlap val="-27"/>
        <c:axId val="324120512"/>
        <c:axId val="324123872"/>
      </c:barChart>
      <c:lineChart>
        <c:grouping val="standard"/>
        <c:varyColors val="0"/>
        <c:ser>
          <c:idx val="1"/>
          <c:order val="1"/>
          <c:tx>
            <c:strRef>
              <c:f>warehouse_sales!$C$4</c:f>
              <c:strCache>
                <c:ptCount val="1"/>
                <c:pt idx="0">
                  <c:v>Sum of otal Sales after discount</c:v>
                </c:pt>
              </c:strCache>
            </c:strRef>
          </c:tx>
          <c:spPr>
            <a:ln w="28575" cap="rnd">
              <a:solidFill>
                <a:schemeClr val="accent2"/>
              </a:solidFill>
              <a:round/>
            </a:ln>
            <a:effectLst/>
          </c:spPr>
          <c:marker>
            <c:symbol val="none"/>
          </c:marker>
          <c:cat>
            <c:strRef>
              <c:f>warehouse_sales!$A$5:$A$13</c:f>
              <c:strCache>
                <c:ptCount val="8"/>
                <c:pt idx="0">
                  <c:v>LDN</c:v>
                </c:pt>
                <c:pt idx="1">
                  <c:v>BHM</c:v>
                </c:pt>
                <c:pt idx="2">
                  <c:v>SHF</c:v>
                </c:pt>
                <c:pt idx="3">
                  <c:v>LIV</c:v>
                </c:pt>
                <c:pt idx="4">
                  <c:v>NCL</c:v>
                </c:pt>
                <c:pt idx="5">
                  <c:v>LDS</c:v>
                </c:pt>
                <c:pt idx="6">
                  <c:v>BRS</c:v>
                </c:pt>
                <c:pt idx="7">
                  <c:v>MAN</c:v>
                </c:pt>
              </c:strCache>
            </c:strRef>
          </c:cat>
          <c:val>
            <c:numRef>
              <c:f>warehouse_sales!$C$5:$C$13</c:f>
              <c:numCache>
                <c:formatCode>0.00%</c:formatCode>
                <c:ptCount val="8"/>
                <c:pt idx="0">
                  <c:v>0.20498773369988199</c:v>
                </c:pt>
                <c:pt idx="1">
                  <c:v>0.36048080123298981</c:v>
                </c:pt>
                <c:pt idx="2">
                  <c:v>0.49530643593094631</c:v>
                </c:pt>
                <c:pt idx="3">
                  <c:v>0.6224231536591478</c:v>
                </c:pt>
                <c:pt idx="4">
                  <c:v>0.7483897481137729</c:v>
                </c:pt>
                <c:pt idx="5">
                  <c:v>0.85889048546080393</c:v>
                </c:pt>
                <c:pt idx="6">
                  <c:v>0.96116512958939215</c:v>
                </c:pt>
                <c:pt idx="7">
                  <c:v>1</c:v>
                </c:pt>
              </c:numCache>
            </c:numRef>
          </c:val>
          <c:smooth val="0"/>
          <c:extLst>
            <c:ext xmlns:c16="http://schemas.microsoft.com/office/drawing/2014/chart" uri="{C3380CC4-5D6E-409C-BE32-E72D297353CC}">
              <c16:uniqueId val="{00000001-F4AE-4F87-9FDC-11AEC0CF047A}"/>
            </c:ext>
          </c:extLst>
        </c:ser>
        <c:dLbls>
          <c:showLegendKey val="0"/>
          <c:showVal val="0"/>
          <c:showCatName val="0"/>
          <c:showSerName val="0"/>
          <c:showPercent val="0"/>
          <c:showBubbleSize val="0"/>
        </c:dLbls>
        <c:marker val="1"/>
        <c:smooth val="0"/>
        <c:axId val="197349216"/>
        <c:axId val="197342016"/>
      </c:lineChart>
      <c:catAx>
        <c:axId val="3241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23872"/>
        <c:crosses val="autoZero"/>
        <c:auto val="1"/>
        <c:lblAlgn val="ctr"/>
        <c:lblOffset val="100"/>
        <c:noMultiLvlLbl val="0"/>
      </c:catAx>
      <c:valAx>
        <c:axId val="324123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20512"/>
        <c:crosses val="autoZero"/>
        <c:crossBetween val="between"/>
      </c:valAx>
      <c:valAx>
        <c:axId val="197342016"/>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9216"/>
        <c:crosses val="max"/>
        <c:crossBetween val="between"/>
        <c:majorUnit val="0.1"/>
        <c:minorUnit val="4.0000000000000008E-2"/>
      </c:valAx>
      <c:catAx>
        <c:axId val="197349216"/>
        <c:scaling>
          <c:orientation val="minMax"/>
        </c:scaling>
        <c:delete val="1"/>
        <c:axPos val="b"/>
        <c:numFmt formatCode="General" sourceLinked="1"/>
        <c:majorTickMark val="out"/>
        <c:minorTickMark val="none"/>
        <c:tickLblPos val="nextTo"/>
        <c:crossAx val="1973420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53340</xdr:rowOff>
    </xdr:from>
    <xdr:to>
      <xdr:col>14</xdr:col>
      <xdr:colOff>502920</xdr:colOff>
      <xdr:row>27</xdr:row>
      <xdr:rowOff>30480</xdr:rowOff>
    </xdr:to>
    <xdr:sp macro="" textlink="">
      <xdr:nvSpPr>
        <xdr:cNvPr id="2" name="pole tekstowe 1">
          <a:extLst>
            <a:ext uri="{FF2B5EF4-FFF2-40B4-BE49-F238E27FC236}">
              <a16:creationId xmlns:a16="http://schemas.microsoft.com/office/drawing/2014/main" id="{45D323DB-ED12-4D5B-3D6E-BE03C5706F32}"/>
            </a:ext>
          </a:extLst>
        </xdr:cNvPr>
        <xdr:cNvSpPr txBox="1"/>
      </xdr:nvSpPr>
      <xdr:spPr>
        <a:xfrm>
          <a:off x="83820" y="53340"/>
          <a:ext cx="8953500" cy="491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Executive Summary – Sales Performance Analysis</a:t>
          </a:r>
          <a:endParaRPr lang="pl-PL" b="1"/>
        </a:p>
        <a:p>
          <a:endParaRPr lang="en-GB" b="1"/>
        </a:p>
        <a:p>
          <a:r>
            <a:rPr lang="en-GB" b="1"/>
            <a:t>Overview</a:t>
          </a:r>
          <a:br>
            <a:rPr lang="en-GB"/>
          </a:br>
          <a:r>
            <a:rPr lang="en-GB"/>
            <a:t>This analysis reviews sales performance across stores, warehouses, and time periods using transactional sales data. The objective was to identify revenue concentration, sales trends, and opportunities to improve store and warehouse performance.</a:t>
          </a:r>
          <a:endParaRPr lang="pl-PL"/>
        </a:p>
        <a:p>
          <a:endParaRPr lang="en-GB"/>
        </a:p>
        <a:p>
          <a:r>
            <a:rPr lang="en-GB" b="1"/>
            <a:t>Key Figures</a:t>
          </a:r>
          <a:endParaRPr lang="en-GB"/>
        </a:p>
        <a:p>
          <a:r>
            <a:rPr lang="en-GB"/>
            <a:t>Total revenue: </a:t>
          </a:r>
          <a:r>
            <a:rPr lang="en-GB" b="1"/>
            <a:t>£8,386</a:t>
          </a:r>
          <a:endParaRPr lang="en-GB"/>
        </a:p>
        <a:p>
          <a:r>
            <a:rPr lang="en-GB"/>
            <a:t>Number of orders: </a:t>
          </a:r>
          <a:r>
            <a:rPr lang="pl-PL" b="1"/>
            <a:t>101</a:t>
          </a:r>
        </a:p>
        <a:p>
          <a:r>
            <a:rPr lang="en-GB"/>
            <a:t>Sales channels analysed: In-store and Online</a:t>
          </a:r>
          <a:endParaRPr lang="pl-PL"/>
        </a:p>
        <a:p>
          <a:endParaRPr lang="en-GB"/>
        </a:p>
        <a:p>
          <a:r>
            <a:rPr lang="en-GB" b="1"/>
            <a:t>Key Insights</a:t>
          </a:r>
          <a:endParaRPr lang="en-GB"/>
        </a:p>
        <a:p>
          <a:r>
            <a:rPr lang="pl-PL" b="1"/>
            <a:t>1. </a:t>
          </a:r>
          <a:r>
            <a:rPr lang="en-GB" b="1"/>
            <a:t>Revenue concentration by store</a:t>
          </a:r>
          <a:br>
            <a:rPr lang="en-GB"/>
          </a:br>
          <a:r>
            <a:rPr lang="en-GB"/>
            <a:t>The top 5 revenue-generating stores account for approximately </a:t>
          </a:r>
          <a:r>
            <a:rPr lang="en-GB" b="1"/>
            <a:t>30% of total revenue</a:t>
          </a:r>
          <a:r>
            <a:rPr lang="en-GB"/>
            <a:t>, indicating a strong concentration of sales among a small number of locations.</a:t>
          </a:r>
        </a:p>
        <a:p>
          <a:r>
            <a:rPr lang="pl-PL" b="1"/>
            <a:t>2. </a:t>
          </a:r>
          <a:r>
            <a:rPr lang="en-GB" b="1"/>
            <a:t>Warehouse contribution follows a Pareto-style pattern</a:t>
          </a:r>
          <a:br>
            <a:rPr lang="en-GB"/>
          </a:br>
          <a:r>
            <a:rPr lang="en-GB"/>
            <a:t>A small number of warehouses generate the majority of total sales, following a clear Pareto-style distribution visible in the cumulative sales curve.</a:t>
          </a:r>
        </a:p>
        <a:p>
          <a:r>
            <a:rPr lang="pl-PL" b="1"/>
            <a:t>3. </a:t>
          </a:r>
          <a:r>
            <a:rPr lang="en-GB" b="1"/>
            <a:t>Clear seasonal trend</a:t>
          </a:r>
          <a:br>
            <a:rPr lang="en-GB"/>
          </a:br>
          <a:r>
            <a:rPr lang="en-GB"/>
            <a:t>Sales remain relatively stable in the first half of the year, followed by a noticeable decline in September</a:t>
          </a:r>
          <a:r>
            <a:rPr lang="pl-PL"/>
            <a:t>-</a:t>
          </a:r>
          <a:r>
            <a:rPr lang="en-GB"/>
            <a:t>October and a partial recovery in Q4.</a:t>
          </a:r>
          <a:r>
            <a:rPr lang="pl-PL"/>
            <a:t> </a:t>
          </a:r>
          <a:r>
            <a:rPr lang="en-GB"/>
            <a:t>These insights can support decisions around inventory allocation, promotional timing, and store-level performance management.</a:t>
          </a:r>
          <a:endParaRPr lang="pl-PL"/>
        </a:p>
        <a:p>
          <a:endParaRPr lang="en-GB"/>
        </a:p>
        <a:p>
          <a:r>
            <a:rPr lang="en-GB" b="1"/>
            <a:t>Business Implications</a:t>
          </a:r>
          <a:endParaRPr lang="en-GB"/>
        </a:p>
        <a:p>
          <a:r>
            <a:rPr lang="en-GB"/>
            <a:t>High-performing stores and warehouses represent opportunities for scaling best practices.</a:t>
          </a:r>
        </a:p>
        <a:p>
          <a:r>
            <a:rPr lang="en-GB"/>
            <a:t>Underperforming periods may benefit from targeted promotions or stock optimisation.</a:t>
          </a:r>
        </a:p>
        <a:p>
          <a:r>
            <a:rPr lang="en-GB"/>
            <a:t>Sales concentration increases operational risk and should be monitored.</a:t>
          </a:r>
          <a:endParaRPr lang="pl-PL"/>
        </a:p>
        <a:p>
          <a:endParaRPr lang="en-GB"/>
        </a:p>
        <a:p>
          <a:r>
            <a:rPr lang="en-GB" b="1"/>
            <a:t>Notes</a:t>
          </a:r>
          <a:br>
            <a:rPr lang="en-GB"/>
          </a:br>
          <a:r>
            <a:rPr lang="en-GB"/>
            <a:t>This dashboard was built using Excel PivotTables, PivotCharts, and slicers to support interactive analysis</a:t>
          </a:r>
          <a:r>
            <a:rPr lang="pl-PL"/>
            <a:t>.</a:t>
          </a:r>
          <a:endParaRPr lang="en-GB"/>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138546</xdr:rowOff>
    </xdr:from>
    <xdr:to>
      <xdr:col>14</xdr:col>
      <xdr:colOff>30486</xdr:colOff>
      <xdr:row>27</xdr:row>
      <xdr:rowOff>83128</xdr:rowOff>
    </xdr:to>
    <xdr:pic>
      <xdr:nvPicPr>
        <xdr:cNvPr id="3" name="Obraz 2">
          <a:extLst>
            <a:ext uri="{FF2B5EF4-FFF2-40B4-BE49-F238E27FC236}">
              <a16:creationId xmlns:a16="http://schemas.microsoft.com/office/drawing/2014/main" id="{3F3BF93D-7E29-6511-D6EF-0780D55907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5691" b="5691"/>
        <a:stretch/>
      </xdr:blipFill>
      <xdr:spPr>
        <a:xfrm>
          <a:off x="0" y="318655"/>
          <a:ext cx="8564886" cy="4627418"/>
        </a:xfrm>
        <a:prstGeom prst="rect">
          <a:avLst/>
        </a:prstGeom>
      </xdr:spPr>
    </xdr:pic>
    <xdr:clientData/>
  </xdr:twoCellAnchor>
  <xdr:twoCellAnchor>
    <xdr:from>
      <xdr:col>8</xdr:col>
      <xdr:colOff>193963</xdr:colOff>
      <xdr:row>2</xdr:row>
      <xdr:rowOff>27708</xdr:rowOff>
    </xdr:from>
    <xdr:to>
      <xdr:col>13</xdr:col>
      <xdr:colOff>540327</xdr:colOff>
      <xdr:row>13</xdr:row>
      <xdr:rowOff>76199</xdr:rowOff>
    </xdr:to>
    <xdr:sp macro="" textlink="">
      <xdr:nvSpPr>
        <xdr:cNvPr id="4" name="Prostokąt 3">
          <a:extLst>
            <a:ext uri="{FF2B5EF4-FFF2-40B4-BE49-F238E27FC236}">
              <a16:creationId xmlns:a16="http://schemas.microsoft.com/office/drawing/2014/main" id="{624CC83E-3AE0-2E82-9F12-70C7924B8878}"/>
            </a:ext>
          </a:extLst>
        </xdr:cNvPr>
        <xdr:cNvSpPr/>
      </xdr:nvSpPr>
      <xdr:spPr>
        <a:xfrm>
          <a:off x="5070763" y="387926"/>
          <a:ext cx="3394364" cy="2029691"/>
        </a:xfrm>
        <a:prstGeom prst="rect">
          <a:avLst/>
        </a:prstGeom>
        <a:solidFill>
          <a:schemeClr val="accent1">
            <a:lumMod val="40000"/>
            <a:lumOff val="60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96983</xdr:colOff>
      <xdr:row>2</xdr:row>
      <xdr:rowOff>13855</xdr:rowOff>
    </xdr:from>
    <xdr:to>
      <xdr:col>2</xdr:col>
      <xdr:colOff>339437</xdr:colOff>
      <xdr:row>13</xdr:row>
      <xdr:rowOff>48491</xdr:rowOff>
    </xdr:to>
    <xdr:sp macro="" textlink="">
      <xdr:nvSpPr>
        <xdr:cNvPr id="7" name="Prostokąt 6">
          <a:extLst>
            <a:ext uri="{FF2B5EF4-FFF2-40B4-BE49-F238E27FC236}">
              <a16:creationId xmlns:a16="http://schemas.microsoft.com/office/drawing/2014/main" id="{353F2A77-A909-4558-81F3-85CF8E164523}"/>
            </a:ext>
          </a:extLst>
        </xdr:cNvPr>
        <xdr:cNvSpPr/>
      </xdr:nvSpPr>
      <xdr:spPr>
        <a:xfrm>
          <a:off x="96983" y="374073"/>
          <a:ext cx="1461654" cy="2015836"/>
        </a:xfrm>
        <a:prstGeom prst="rect">
          <a:avLst/>
        </a:prstGeom>
        <a:solidFill>
          <a:schemeClr val="accent1">
            <a:lumMod val="40000"/>
            <a:lumOff val="60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195151</xdr:colOff>
      <xdr:row>2</xdr:row>
      <xdr:rowOff>79021</xdr:rowOff>
    </xdr:from>
    <xdr:to>
      <xdr:col>1</xdr:col>
      <xdr:colOff>519545</xdr:colOff>
      <xdr:row>3</xdr:row>
      <xdr:rowOff>124691</xdr:rowOff>
    </xdr:to>
    <xdr:sp macro="" textlink="">
      <xdr:nvSpPr>
        <xdr:cNvPr id="9" name="Prostokąt 8">
          <a:extLst>
            <a:ext uri="{FF2B5EF4-FFF2-40B4-BE49-F238E27FC236}">
              <a16:creationId xmlns:a16="http://schemas.microsoft.com/office/drawing/2014/main" id="{385C1761-4C74-3911-B582-81C81D33901B}"/>
            </a:ext>
          </a:extLst>
        </xdr:cNvPr>
        <xdr:cNvSpPr/>
      </xdr:nvSpPr>
      <xdr:spPr>
        <a:xfrm>
          <a:off x="195151" y="439239"/>
          <a:ext cx="933994" cy="225779"/>
        </a:xfrm>
        <a:prstGeom prst="rect">
          <a:avLst/>
        </a:prstGeom>
        <a:solidFill>
          <a:schemeClr val="bg1">
            <a:lumMod val="95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000">
              <a:solidFill>
                <a:schemeClr val="tx2">
                  <a:lumMod val="75000"/>
                </a:schemeClr>
              </a:solidFill>
              <a:latin typeface="Berlin Sans FB" panose="020E0602020502020306" pitchFamily="34" charset="0"/>
            </a:rPr>
            <a:t>       FILTERS</a:t>
          </a:r>
          <a:endParaRPr lang="en-GB" sz="1000">
            <a:solidFill>
              <a:schemeClr val="tx2">
                <a:lumMod val="75000"/>
              </a:schemeClr>
            </a:solidFill>
            <a:latin typeface="Berlin Sans FB" panose="020E0602020502020306" pitchFamily="34" charset="0"/>
          </a:endParaRPr>
        </a:p>
      </xdr:txBody>
    </xdr:sp>
    <xdr:clientData/>
  </xdr:twoCellAnchor>
  <xdr:twoCellAnchor>
    <xdr:from>
      <xdr:col>8</xdr:col>
      <xdr:colOff>249382</xdr:colOff>
      <xdr:row>2</xdr:row>
      <xdr:rowOff>64258</xdr:rowOff>
    </xdr:from>
    <xdr:to>
      <xdr:col>11</xdr:col>
      <xdr:colOff>249382</xdr:colOff>
      <xdr:row>3</xdr:row>
      <xdr:rowOff>110836</xdr:rowOff>
    </xdr:to>
    <xdr:sp macro="" textlink="">
      <xdr:nvSpPr>
        <xdr:cNvPr id="11" name="Prostokąt 10">
          <a:extLst>
            <a:ext uri="{FF2B5EF4-FFF2-40B4-BE49-F238E27FC236}">
              <a16:creationId xmlns:a16="http://schemas.microsoft.com/office/drawing/2014/main" id="{617DCBC5-2A0F-401B-8306-617AE9A3A3D4}"/>
            </a:ext>
          </a:extLst>
        </xdr:cNvPr>
        <xdr:cNvSpPr/>
      </xdr:nvSpPr>
      <xdr:spPr>
        <a:xfrm>
          <a:off x="5126182" y="424476"/>
          <a:ext cx="1828800" cy="226687"/>
        </a:xfrm>
        <a:prstGeom prst="rect">
          <a:avLst/>
        </a:prstGeom>
        <a:solidFill>
          <a:schemeClr val="bg1">
            <a:lumMod val="95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000">
              <a:solidFill>
                <a:schemeClr val="tx2">
                  <a:lumMod val="75000"/>
                </a:schemeClr>
              </a:solidFill>
              <a:latin typeface="Berlin Sans FB" panose="020E0602020502020306" pitchFamily="34" charset="0"/>
            </a:rPr>
            <a:t>  WAREHOUSE</a:t>
          </a:r>
          <a:r>
            <a:rPr lang="pl-PL" sz="1000" baseline="0">
              <a:solidFill>
                <a:schemeClr val="tx2">
                  <a:lumMod val="75000"/>
                </a:schemeClr>
              </a:solidFill>
              <a:latin typeface="Berlin Sans FB" panose="020E0602020502020306" pitchFamily="34" charset="0"/>
            </a:rPr>
            <a:t> SALES</a:t>
          </a:r>
          <a:endParaRPr lang="en-GB" sz="1000">
            <a:solidFill>
              <a:schemeClr val="tx2">
                <a:lumMod val="75000"/>
              </a:schemeClr>
            </a:solidFill>
            <a:latin typeface="Berlin Sans FB" panose="020E0602020502020306" pitchFamily="34" charset="0"/>
          </a:endParaRPr>
        </a:p>
      </xdr:txBody>
    </xdr:sp>
    <xdr:clientData/>
  </xdr:twoCellAnchor>
  <xdr:twoCellAnchor>
    <xdr:from>
      <xdr:col>0</xdr:col>
      <xdr:colOff>96982</xdr:colOff>
      <xdr:row>13</xdr:row>
      <xdr:rowOff>152400</xdr:rowOff>
    </xdr:from>
    <xdr:to>
      <xdr:col>13</xdr:col>
      <xdr:colOff>540327</xdr:colOff>
      <xdr:row>26</xdr:row>
      <xdr:rowOff>103909</xdr:rowOff>
    </xdr:to>
    <xdr:sp macro="" textlink="">
      <xdr:nvSpPr>
        <xdr:cNvPr id="14" name="Prostokąt 13">
          <a:extLst>
            <a:ext uri="{FF2B5EF4-FFF2-40B4-BE49-F238E27FC236}">
              <a16:creationId xmlns:a16="http://schemas.microsoft.com/office/drawing/2014/main" id="{15C29495-C7BD-48A1-A217-F79975DE58DC}"/>
            </a:ext>
          </a:extLst>
        </xdr:cNvPr>
        <xdr:cNvSpPr/>
      </xdr:nvSpPr>
      <xdr:spPr>
        <a:xfrm>
          <a:off x="96982" y="2493818"/>
          <a:ext cx="8368145" cy="2292927"/>
        </a:xfrm>
        <a:prstGeom prst="rect">
          <a:avLst/>
        </a:prstGeom>
        <a:solidFill>
          <a:schemeClr val="accent1">
            <a:lumMod val="40000"/>
            <a:lumOff val="60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0</xdr:col>
      <xdr:colOff>181495</xdr:colOff>
      <xdr:row>14</xdr:row>
      <xdr:rowOff>36945</xdr:rowOff>
    </xdr:from>
    <xdr:to>
      <xdr:col>3</xdr:col>
      <xdr:colOff>318655</xdr:colOff>
      <xdr:row>15</xdr:row>
      <xdr:rowOff>108911</xdr:rowOff>
    </xdr:to>
    <xdr:sp macro="" textlink="">
      <xdr:nvSpPr>
        <xdr:cNvPr id="12" name="Prostokąt 11">
          <a:extLst>
            <a:ext uri="{FF2B5EF4-FFF2-40B4-BE49-F238E27FC236}">
              <a16:creationId xmlns:a16="http://schemas.microsoft.com/office/drawing/2014/main" id="{B645BFE2-395D-4F71-BD52-81AA623E6EC8}"/>
            </a:ext>
          </a:extLst>
        </xdr:cNvPr>
        <xdr:cNvSpPr/>
      </xdr:nvSpPr>
      <xdr:spPr>
        <a:xfrm>
          <a:off x="181495" y="2558472"/>
          <a:ext cx="1965960" cy="252075"/>
        </a:xfrm>
        <a:prstGeom prst="rect">
          <a:avLst/>
        </a:prstGeom>
        <a:solidFill>
          <a:schemeClr val="bg1">
            <a:lumMod val="95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000">
              <a:solidFill>
                <a:schemeClr val="tx2">
                  <a:lumMod val="75000"/>
                </a:schemeClr>
              </a:solidFill>
              <a:latin typeface="Berlin Sans FB" panose="020E0602020502020306" pitchFamily="34" charset="0"/>
            </a:rPr>
            <a:t>    SALES</a:t>
          </a:r>
          <a:r>
            <a:rPr lang="pl-PL" sz="1000" baseline="0">
              <a:solidFill>
                <a:schemeClr val="tx2">
                  <a:lumMod val="75000"/>
                </a:schemeClr>
              </a:solidFill>
              <a:latin typeface="Berlin Sans FB" panose="020E0602020502020306" pitchFamily="34" charset="0"/>
            </a:rPr>
            <a:t> PROGRESS</a:t>
          </a:r>
          <a:endParaRPr lang="en-GB" sz="1000">
            <a:solidFill>
              <a:schemeClr val="tx2">
                <a:lumMod val="75000"/>
              </a:schemeClr>
            </a:solidFill>
            <a:latin typeface="Berlin Sans FB" panose="020E0602020502020306" pitchFamily="34" charset="0"/>
          </a:endParaRPr>
        </a:p>
      </xdr:txBody>
    </xdr:sp>
    <xdr:clientData/>
  </xdr:twoCellAnchor>
  <xdr:twoCellAnchor editAs="oneCell">
    <xdr:from>
      <xdr:col>0</xdr:col>
      <xdr:colOff>277090</xdr:colOff>
      <xdr:row>14</xdr:row>
      <xdr:rowOff>26939</xdr:rowOff>
    </xdr:from>
    <xdr:to>
      <xdr:col>0</xdr:col>
      <xdr:colOff>560092</xdr:colOff>
      <xdr:row>15</xdr:row>
      <xdr:rowOff>128672</xdr:rowOff>
    </xdr:to>
    <xdr:pic>
      <xdr:nvPicPr>
        <xdr:cNvPr id="16" name="Grafika 15" descr="Rozwój biznesu z wypełnieniem pełnym">
          <a:extLst>
            <a:ext uri="{FF2B5EF4-FFF2-40B4-BE49-F238E27FC236}">
              <a16:creationId xmlns:a16="http://schemas.microsoft.com/office/drawing/2014/main" id="{F6B358D5-2FB2-143E-9E93-553FD297208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7090" y="2548466"/>
          <a:ext cx="283002" cy="281842"/>
        </a:xfrm>
        <a:prstGeom prst="rect">
          <a:avLst/>
        </a:prstGeom>
      </xdr:spPr>
    </xdr:pic>
    <xdr:clientData/>
  </xdr:twoCellAnchor>
  <xdr:twoCellAnchor editAs="oneCell">
    <xdr:from>
      <xdr:col>8</xdr:col>
      <xdr:colOff>283441</xdr:colOff>
      <xdr:row>2</xdr:row>
      <xdr:rowOff>57209</xdr:rowOff>
    </xdr:from>
    <xdr:to>
      <xdr:col>8</xdr:col>
      <xdr:colOff>540327</xdr:colOff>
      <xdr:row>3</xdr:row>
      <xdr:rowOff>128513</xdr:rowOff>
    </xdr:to>
    <xdr:pic>
      <xdr:nvPicPr>
        <xdr:cNvPr id="26" name="Grafika 25" descr="Koszyk na zakupy z wypełnieniem pełnym">
          <a:extLst>
            <a:ext uri="{FF2B5EF4-FFF2-40B4-BE49-F238E27FC236}">
              <a16:creationId xmlns:a16="http://schemas.microsoft.com/office/drawing/2014/main" id="{FA92DC38-F4A2-F557-890F-C029DBFE6FE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60241" y="417427"/>
          <a:ext cx="256886" cy="251413"/>
        </a:xfrm>
        <a:prstGeom prst="rect">
          <a:avLst/>
        </a:prstGeom>
      </xdr:spPr>
    </xdr:pic>
    <xdr:clientData/>
  </xdr:twoCellAnchor>
  <xdr:twoCellAnchor editAs="oneCell">
    <xdr:from>
      <xdr:col>0</xdr:col>
      <xdr:colOff>219054</xdr:colOff>
      <xdr:row>2</xdr:row>
      <xdr:rowOff>67809</xdr:rowOff>
    </xdr:from>
    <xdr:to>
      <xdr:col>0</xdr:col>
      <xdr:colOff>471054</xdr:colOff>
      <xdr:row>3</xdr:row>
      <xdr:rowOff>131618</xdr:rowOff>
    </xdr:to>
    <xdr:pic>
      <xdr:nvPicPr>
        <xdr:cNvPr id="34" name="Grafika 33" descr="Strzałki pagonowe z wypełnieniem pełnym">
          <a:extLst>
            <a:ext uri="{FF2B5EF4-FFF2-40B4-BE49-F238E27FC236}">
              <a16:creationId xmlns:a16="http://schemas.microsoft.com/office/drawing/2014/main" id="{E15526CC-6C0D-EA50-4024-357D0087C6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9054" y="428027"/>
          <a:ext cx="252000" cy="243918"/>
        </a:xfrm>
        <a:prstGeom prst="rect">
          <a:avLst/>
        </a:prstGeom>
      </xdr:spPr>
    </xdr:pic>
    <xdr:clientData/>
  </xdr:twoCellAnchor>
  <xdr:twoCellAnchor>
    <xdr:from>
      <xdr:col>0</xdr:col>
      <xdr:colOff>292800</xdr:colOff>
      <xdr:row>15</xdr:row>
      <xdr:rowOff>152401</xdr:rowOff>
    </xdr:from>
    <xdr:to>
      <xdr:col>13</xdr:col>
      <xdr:colOff>0</xdr:colOff>
      <xdr:row>24</xdr:row>
      <xdr:rowOff>117765</xdr:rowOff>
    </xdr:to>
    <xdr:graphicFrame macro="">
      <xdr:nvGraphicFramePr>
        <xdr:cNvPr id="35" name="Wykres 34">
          <a:extLst>
            <a:ext uri="{FF2B5EF4-FFF2-40B4-BE49-F238E27FC236}">
              <a16:creationId xmlns:a16="http://schemas.microsoft.com/office/drawing/2014/main" id="{DA8413BA-9055-4A60-99C4-9AEFDF5BC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422563</xdr:colOff>
      <xdr:row>2</xdr:row>
      <xdr:rowOff>20780</xdr:rowOff>
    </xdr:from>
    <xdr:to>
      <xdr:col>8</xdr:col>
      <xdr:colOff>103909</xdr:colOff>
      <xdr:row>13</xdr:row>
      <xdr:rowOff>62346</xdr:rowOff>
    </xdr:to>
    <xdr:sp macro="" textlink="">
      <xdr:nvSpPr>
        <xdr:cNvPr id="5" name="Prostokąt 4">
          <a:extLst>
            <a:ext uri="{FF2B5EF4-FFF2-40B4-BE49-F238E27FC236}">
              <a16:creationId xmlns:a16="http://schemas.microsoft.com/office/drawing/2014/main" id="{6A48371B-ABF3-45D0-8A1F-8E3E7BAA5483}"/>
            </a:ext>
          </a:extLst>
        </xdr:cNvPr>
        <xdr:cNvSpPr/>
      </xdr:nvSpPr>
      <xdr:spPr>
        <a:xfrm>
          <a:off x="1641763" y="380998"/>
          <a:ext cx="3338946" cy="2022766"/>
        </a:xfrm>
        <a:prstGeom prst="rect">
          <a:avLst/>
        </a:prstGeom>
        <a:solidFill>
          <a:schemeClr val="accent1">
            <a:lumMod val="40000"/>
            <a:lumOff val="60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561109</xdr:colOff>
      <xdr:row>3</xdr:row>
      <xdr:rowOff>117764</xdr:rowOff>
    </xdr:from>
    <xdr:to>
      <xdr:col>8</xdr:col>
      <xdr:colOff>48491</xdr:colOff>
      <xdr:row>11</xdr:row>
      <xdr:rowOff>152400</xdr:rowOff>
    </xdr:to>
    <xdr:graphicFrame macro="">
      <xdr:nvGraphicFramePr>
        <xdr:cNvPr id="36" name="Wykres 35">
          <a:extLst>
            <a:ext uri="{FF2B5EF4-FFF2-40B4-BE49-F238E27FC236}">
              <a16:creationId xmlns:a16="http://schemas.microsoft.com/office/drawing/2014/main" id="{6E1890E9-DC20-4A43-82B8-48B7D22DE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207817</xdr:colOff>
      <xdr:row>3</xdr:row>
      <xdr:rowOff>117764</xdr:rowOff>
    </xdr:from>
    <xdr:to>
      <xdr:col>13</xdr:col>
      <xdr:colOff>526472</xdr:colOff>
      <xdr:row>11</xdr:row>
      <xdr:rowOff>145473</xdr:rowOff>
    </xdr:to>
    <xdr:graphicFrame macro="">
      <xdr:nvGraphicFramePr>
        <xdr:cNvPr id="37" name="Wykres 36">
          <a:extLst>
            <a:ext uri="{FF2B5EF4-FFF2-40B4-BE49-F238E27FC236}">
              <a16:creationId xmlns:a16="http://schemas.microsoft.com/office/drawing/2014/main" id="{4CACD360-FFAF-40A8-9047-F02759E87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211491</xdr:colOff>
      <xdr:row>4</xdr:row>
      <xdr:rowOff>1538</xdr:rowOff>
    </xdr:from>
    <xdr:to>
      <xdr:col>2</xdr:col>
      <xdr:colOff>252291</xdr:colOff>
      <xdr:row>7</xdr:row>
      <xdr:rowOff>84581</xdr:rowOff>
    </xdr:to>
    <mc:AlternateContent xmlns:mc="http://schemas.openxmlformats.org/markup-compatibility/2006">
      <mc:Choice xmlns:a14="http://schemas.microsoft.com/office/drawing/2010/main" Requires="a14">
        <xdr:graphicFrame macro="">
          <xdr:nvGraphicFramePr>
            <xdr:cNvPr id="41" name="Sales Channel">
              <a:extLst>
                <a:ext uri="{FF2B5EF4-FFF2-40B4-BE49-F238E27FC236}">
                  <a16:creationId xmlns:a16="http://schemas.microsoft.com/office/drawing/2014/main" id="{0E0AA8DB-29E3-3F10-0718-ECC3670E5EC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11491" y="721974"/>
              <a:ext cx="1260000" cy="623371"/>
            </a:xfrm>
            <a:prstGeom prst="rect">
              <a:avLst/>
            </a:prstGeom>
            <a:solidFill>
              <a:prstClr val="white"/>
            </a:solidFill>
            <a:ln w="1">
              <a:solidFill>
                <a:prstClr val="green"/>
              </a:solidFill>
            </a:ln>
          </xdr:spPr>
          <xdr:txBody>
            <a:bodyPr vertOverflow="clip" horzOverflow="clip"/>
            <a:lstStyle/>
            <a:p>
              <a:r>
                <a:rPr lang="en-GB"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twoCellAnchor editAs="oneCell">
    <xdr:from>
      <xdr:col>0</xdr:col>
      <xdr:colOff>204564</xdr:colOff>
      <xdr:row>7</xdr:row>
      <xdr:rowOff>135242</xdr:rowOff>
    </xdr:from>
    <xdr:to>
      <xdr:col>2</xdr:col>
      <xdr:colOff>245364</xdr:colOff>
      <xdr:row>12</xdr:row>
      <xdr:rowOff>173181</xdr:rowOff>
    </xdr:to>
    <mc:AlternateContent xmlns:mc="http://schemas.openxmlformats.org/markup-compatibility/2006">
      <mc:Choice xmlns:a14="http://schemas.microsoft.com/office/drawing/2010/main" Requires="a14">
        <xdr:graphicFrame macro="">
          <xdr:nvGraphicFramePr>
            <xdr:cNvPr id="42" name="Seller">
              <a:extLst>
                <a:ext uri="{FF2B5EF4-FFF2-40B4-BE49-F238E27FC236}">
                  <a16:creationId xmlns:a16="http://schemas.microsoft.com/office/drawing/2014/main" id="{3B593DD8-D716-B867-9834-C2B99A8ABFEF}"/>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204564" y="1396006"/>
              <a:ext cx="1260000" cy="938484"/>
            </a:xfrm>
            <a:prstGeom prst="rect">
              <a:avLst/>
            </a:prstGeom>
            <a:solidFill>
              <a:prstClr val="white"/>
            </a:solidFill>
            <a:ln w="1">
              <a:solidFill>
                <a:prstClr val="green"/>
              </a:solidFill>
            </a:ln>
          </xdr:spPr>
          <xdr:txBody>
            <a:bodyPr vertOverflow="clip" horzOverflow="clip"/>
            <a:lstStyle/>
            <a:p>
              <a:r>
                <a:rPr lang="en-GB"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twoCellAnchor>
    <xdr:from>
      <xdr:col>3</xdr:col>
      <xdr:colOff>284020</xdr:colOff>
      <xdr:row>25</xdr:row>
      <xdr:rowOff>27709</xdr:rowOff>
    </xdr:from>
    <xdr:to>
      <xdr:col>10</xdr:col>
      <xdr:colOff>581892</xdr:colOff>
      <xdr:row>26</xdr:row>
      <xdr:rowOff>27709</xdr:rowOff>
    </xdr:to>
    <xdr:sp macro="" textlink="">
      <xdr:nvSpPr>
        <xdr:cNvPr id="2" name="pole tekstowe 1">
          <a:extLst>
            <a:ext uri="{FF2B5EF4-FFF2-40B4-BE49-F238E27FC236}">
              <a16:creationId xmlns:a16="http://schemas.microsoft.com/office/drawing/2014/main" id="{24924B1A-9F78-2F4A-9902-3DD577F7B34A}"/>
            </a:ext>
          </a:extLst>
        </xdr:cNvPr>
        <xdr:cNvSpPr txBox="1"/>
      </xdr:nvSpPr>
      <xdr:spPr>
        <a:xfrm>
          <a:off x="2112820" y="4530436"/>
          <a:ext cx="4565072" cy="1801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solidFill>
                <a:schemeClr val="tx2">
                  <a:lumMod val="50000"/>
                </a:schemeClr>
              </a:solidFill>
            </a:rPr>
            <a:t>A noticeable drop in sales appears in September–October, followed by partial recovery in Q4.</a:t>
          </a:r>
        </a:p>
      </xdr:txBody>
    </xdr:sp>
    <xdr:clientData/>
  </xdr:twoCellAnchor>
  <xdr:twoCellAnchor>
    <xdr:from>
      <xdr:col>2</xdr:col>
      <xdr:colOff>480258</xdr:colOff>
      <xdr:row>2</xdr:row>
      <xdr:rowOff>72095</xdr:rowOff>
    </xdr:from>
    <xdr:to>
      <xdr:col>6</xdr:col>
      <xdr:colOff>602672</xdr:colOff>
      <xdr:row>3</xdr:row>
      <xdr:rowOff>117765</xdr:rowOff>
    </xdr:to>
    <xdr:sp macro="" textlink="">
      <xdr:nvSpPr>
        <xdr:cNvPr id="10" name="Prostokąt 9">
          <a:extLst>
            <a:ext uri="{FF2B5EF4-FFF2-40B4-BE49-F238E27FC236}">
              <a16:creationId xmlns:a16="http://schemas.microsoft.com/office/drawing/2014/main" id="{4DB97BB6-1EEC-4527-A5C6-B49F0AF6DAC6}"/>
            </a:ext>
          </a:extLst>
        </xdr:cNvPr>
        <xdr:cNvSpPr/>
      </xdr:nvSpPr>
      <xdr:spPr>
        <a:xfrm>
          <a:off x="1699458" y="432313"/>
          <a:ext cx="2560814" cy="225779"/>
        </a:xfrm>
        <a:prstGeom prst="rect">
          <a:avLst/>
        </a:prstGeom>
        <a:solidFill>
          <a:schemeClr val="bg1">
            <a:lumMod val="95000"/>
            <a:alpha val="8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000">
              <a:solidFill>
                <a:schemeClr val="tx2">
                  <a:lumMod val="75000"/>
                </a:schemeClr>
              </a:solidFill>
              <a:latin typeface="Berlin Sans FB" panose="020E0602020502020306" pitchFamily="34" charset="0"/>
            </a:rPr>
            <a:t>     TOP REVENUE-GENERATING STORES</a:t>
          </a:r>
          <a:endParaRPr lang="en-GB" sz="1000">
            <a:solidFill>
              <a:schemeClr val="tx2">
                <a:lumMod val="75000"/>
              </a:schemeClr>
            </a:solidFill>
            <a:latin typeface="Berlin Sans FB" panose="020E0602020502020306" pitchFamily="34" charset="0"/>
          </a:endParaRPr>
        </a:p>
      </xdr:txBody>
    </xdr:sp>
    <xdr:clientData/>
  </xdr:twoCellAnchor>
  <xdr:twoCellAnchor editAs="oneCell">
    <xdr:from>
      <xdr:col>2</xdr:col>
      <xdr:colOff>525896</xdr:colOff>
      <xdr:row>2</xdr:row>
      <xdr:rowOff>74599</xdr:rowOff>
    </xdr:from>
    <xdr:to>
      <xdr:col>3</xdr:col>
      <xdr:colOff>132296</xdr:colOff>
      <xdr:row>3</xdr:row>
      <xdr:rowOff>103908</xdr:rowOff>
    </xdr:to>
    <xdr:pic>
      <xdr:nvPicPr>
        <xdr:cNvPr id="22" name="Grafika 21" descr="Podium z wypełnieniem pełnym">
          <a:extLst>
            <a:ext uri="{FF2B5EF4-FFF2-40B4-BE49-F238E27FC236}">
              <a16:creationId xmlns:a16="http://schemas.microsoft.com/office/drawing/2014/main" id="{CE7EE892-190D-CA48-F125-88C7935BD81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45096" y="434817"/>
          <a:ext cx="216000" cy="209418"/>
        </a:xfrm>
        <a:prstGeom prst="rect">
          <a:avLst/>
        </a:prstGeom>
      </xdr:spPr>
    </xdr:pic>
    <xdr:clientData/>
  </xdr:twoCellAnchor>
  <xdr:twoCellAnchor>
    <xdr:from>
      <xdr:col>2</xdr:col>
      <xdr:colOff>173183</xdr:colOff>
      <xdr:row>11</xdr:row>
      <xdr:rowOff>124691</xdr:rowOff>
    </xdr:from>
    <xdr:to>
      <xdr:col>8</xdr:col>
      <xdr:colOff>103909</xdr:colOff>
      <xdr:row>13</xdr:row>
      <xdr:rowOff>138546</xdr:rowOff>
    </xdr:to>
    <xdr:sp macro="" textlink="">
      <xdr:nvSpPr>
        <xdr:cNvPr id="8" name="pole tekstowe 7">
          <a:extLst>
            <a:ext uri="{FF2B5EF4-FFF2-40B4-BE49-F238E27FC236}">
              <a16:creationId xmlns:a16="http://schemas.microsoft.com/office/drawing/2014/main" id="{71372D2D-B5BD-407E-B5CC-12D0075A8D8B}"/>
            </a:ext>
          </a:extLst>
        </xdr:cNvPr>
        <xdr:cNvSpPr txBox="1"/>
      </xdr:nvSpPr>
      <xdr:spPr>
        <a:xfrm>
          <a:off x="1392383" y="2105891"/>
          <a:ext cx="3588326" cy="37407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a:solidFill>
                <a:schemeClr val="tx2">
                  <a:lumMod val="50000"/>
                </a:schemeClr>
              </a:solidFill>
            </a:rPr>
            <a:t>Top 5 stores generate ~30% of total revenue, indicating strong sales concentration</a:t>
          </a:r>
          <a:r>
            <a:rPr lang="pl-PL" sz="800">
              <a:solidFill>
                <a:schemeClr val="tx2">
                  <a:lumMod val="50000"/>
                </a:schemeClr>
              </a:solidFill>
            </a:rPr>
            <a:t>.</a:t>
          </a:r>
          <a:endParaRPr lang="en-GB" sz="800">
            <a:solidFill>
              <a:schemeClr val="tx2">
                <a:lumMod val="50000"/>
              </a:schemeClr>
            </a:solidFill>
          </a:endParaRPr>
        </a:p>
      </xdr:txBody>
    </xdr:sp>
    <xdr:clientData/>
  </xdr:twoCellAnchor>
  <xdr:twoCellAnchor>
    <xdr:from>
      <xdr:col>8</xdr:col>
      <xdr:colOff>145474</xdr:colOff>
      <xdr:row>11</xdr:row>
      <xdr:rowOff>131618</xdr:rowOff>
    </xdr:from>
    <xdr:to>
      <xdr:col>13</xdr:col>
      <xdr:colOff>540328</xdr:colOff>
      <xdr:row>13</xdr:row>
      <xdr:rowOff>145473</xdr:rowOff>
    </xdr:to>
    <xdr:sp macro="" textlink="">
      <xdr:nvSpPr>
        <xdr:cNvPr id="13" name="pole tekstowe 12">
          <a:extLst>
            <a:ext uri="{FF2B5EF4-FFF2-40B4-BE49-F238E27FC236}">
              <a16:creationId xmlns:a16="http://schemas.microsoft.com/office/drawing/2014/main" id="{B809A87E-946A-4F3F-A216-140521563CB7}"/>
            </a:ext>
          </a:extLst>
        </xdr:cNvPr>
        <xdr:cNvSpPr txBox="1"/>
      </xdr:nvSpPr>
      <xdr:spPr>
        <a:xfrm>
          <a:off x="5022274" y="2112818"/>
          <a:ext cx="3442854" cy="37407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a:solidFill>
                <a:schemeClr val="tx2">
                  <a:lumMod val="50000"/>
                </a:schemeClr>
              </a:solidFill>
            </a:rPr>
            <a:t>Sales follow a clear Pareto pattern, with the majority of revenue generated by a small number of warehouses.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167640</xdr:colOff>
      <xdr:row>2</xdr:row>
      <xdr:rowOff>137160</xdr:rowOff>
    </xdr:from>
    <xdr:to>
      <xdr:col>12</xdr:col>
      <xdr:colOff>99060</xdr:colOff>
      <xdr:row>17</xdr:row>
      <xdr:rowOff>137160</xdr:rowOff>
    </xdr:to>
    <xdr:graphicFrame macro="">
      <xdr:nvGraphicFramePr>
        <xdr:cNvPr id="2" name="Wykres 1">
          <a:extLst>
            <a:ext uri="{FF2B5EF4-FFF2-40B4-BE49-F238E27FC236}">
              <a16:creationId xmlns:a16="http://schemas.microsoft.com/office/drawing/2014/main" id="{CEE0E7D3-F873-BD20-D542-FC74ECF3C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3</xdr:row>
      <xdr:rowOff>160020</xdr:rowOff>
    </xdr:from>
    <xdr:to>
      <xdr:col>10</xdr:col>
      <xdr:colOff>426720</xdr:colOff>
      <xdr:row>18</xdr:row>
      <xdr:rowOff>160020</xdr:rowOff>
    </xdr:to>
    <xdr:graphicFrame macro="">
      <xdr:nvGraphicFramePr>
        <xdr:cNvPr id="2" name="Wykres 1">
          <a:extLst>
            <a:ext uri="{FF2B5EF4-FFF2-40B4-BE49-F238E27FC236}">
              <a16:creationId xmlns:a16="http://schemas.microsoft.com/office/drawing/2014/main" id="{93E708E8-94AF-C7E2-13A1-0ACF1AE9F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152400</xdr:rowOff>
    </xdr:from>
    <xdr:to>
      <xdr:col>7</xdr:col>
      <xdr:colOff>312420</xdr:colOff>
      <xdr:row>30</xdr:row>
      <xdr:rowOff>137160</xdr:rowOff>
    </xdr:to>
    <xdr:graphicFrame macro="">
      <xdr:nvGraphicFramePr>
        <xdr:cNvPr id="3" name="Wykres 2">
          <a:extLst>
            <a:ext uri="{FF2B5EF4-FFF2-40B4-BE49-F238E27FC236}">
              <a16:creationId xmlns:a16="http://schemas.microsoft.com/office/drawing/2014/main" id="{6D0D2102-1DED-FE83-F7EB-03B4904E9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Dudzic" refreshedDate="45711.516560185184" createdVersion="8" refreshedVersion="8" minRefreshableVersion="3" recordCount="100" xr:uid="{8D575476-B8F4-445C-9235-24C9E8E22F2D}">
  <cacheSource type="worksheet">
    <worksheetSource name="tab_source"/>
  </cacheSource>
  <cacheFields count="17">
    <cacheField name="Order ID" numFmtId="0">
      <sharedItems/>
    </cacheField>
    <cacheField name="Sales Channel" numFmtId="0">
      <sharedItems count="2">
        <s v="In-store"/>
        <s v="Online"/>
      </sharedItems>
    </cacheField>
    <cacheField name="Warehouse" numFmtId="0">
      <sharedItems count="46">
        <s v="LIV"/>
        <s v="MAN"/>
        <s v="NCL"/>
        <s v="LDS"/>
        <s v="LDN"/>
        <s v="SHF"/>
        <s v="BHM"/>
        <s v="BRS"/>
        <s v="LIV-1" u="1"/>
        <s v="MAN-1" u="1"/>
        <s v="NCL-2" u="1"/>
        <s v="LDS-1" u="1"/>
        <s v="LDN-1" u="1"/>
        <s v="SHF-2" u="1"/>
        <s v="BHM-1" u="1"/>
        <s v="LIV-2" u="1"/>
        <s v="NCL-3" u="1"/>
        <s v="SHF-1" u="1"/>
        <s v="LIV-3" u="1"/>
        <s v="LDS-3" u="1"/>
        <s v="BRS-1" u="1"/>
        <s v="LDN-2" u="1"/>
        <s v="BHM-2" u="1"/>
        <s v="LDS-2" u="1"/>
        <s v="MAN-2" u="1"/>
        <s v="MAN-3" u="1"/>
        <s v="BRS-2" u="1"/>
        <s v="LDN-3" u="1"/>
        <s v="BHM-3" u="1"/>
        <s v="NCL-1" u="1"/>
        <s v="BRS-3" u="1"/>
        <s v="SHF-3" u="1"/>
        <s v="LDS-5" u="1"/>
        <s v="SHF-4" u="1"/>
        <s v="NCL-4" u="1"/>
        <s v="SHF-5" u="1"/>
        <s v="BRS-5" u="1"/>
        <s v="LDN-4" u="1"/>
        <s v="BHM-4" u="1"/>
        <s v="BHM-5" u="1"/>
        <s v="LIV-5" u="1"/>
        <s v="LDN-5" u="1"/>
        <s v="LDS-4" u="1"/>
        <s v="NCL-5" u="1"/>
        <s v="BRS-4" u="1"/>
        <s v="MAN-5" u="1"/>
      </sharedItems>
    </cacheField>
    <cacheField name="Order Date" numFmtId="165">
      <sharedItems containsSemiMixedTypes="0" containsNonDate="0" containsDate="1" containsString="0" minDate="2024-01-02T00:00:00" maxDate="2024-12-31T00:00:00" count="90">
        <d v="2024-05-14T00:00:00"/>
        <d v="2024-04-18T00:00:00"/>
        <d v="2024-02-25T00:00:00"/>
        <d v="2024-08-23T00:00:00"/>
        <d v="2024-09-02T00:00:00"/>
        <d v="2024-01-26T00:00:00"/>
        <d v="2024-07-17T00:00:00"/>
        <d v="2024-11-04T00:00:00"/>
        <d v="2024-12-11T00:00:00"/>
        <d v="2024-01-28T00:00:00"/>
        <d v="2024-01-07T00:00:00"/>
        <d v="2024-05-23T00:00:00"/>
        <d v="2024-06-25T00:00:00"/>
        <d v="2024-05-18T00:00:00"/>
        <d v="2024-11-15T00:00:00"/>
        <d v="2024-12-15T00:00:00"/>
        <d v="2024-06-28T00:00:00"/>
        <d v="2024-07-06T00:00:00"/>
        <d v="2024-06-01T00:00:00"/>
        <d v="2024-03-09T00:00:00"/>
        <d v="2024-03-08T00:00:00"/>
        <d v="2024-05-08T00:00:00"/>
        <d v="2024-09-16T00:00:00"/>
        <d v="2024-11-26T00:00:00"/>
        <d v="2024-11-03T00:00:00"/>
        <d v="2024-11-01T00:00:00"/>
        <d v="2024-05-02T00:00:00"/>
        <d v="2024-02-19T00:00:00"/>
        <d v="2024-05-24T00:00:00"/>
        <d v="2024-04-28T00:00:00"/>
        <d v="2024-12-29T00:00:00"/>
        <d v="2024-10-10T00:00:00"/>
        <d v="2024-01-27T00:00:00"/>
        <d v="2024-06-29T00:00:00"/>
        <d v="2024-07-31T00:00:00"/>
        <d v="2024-04-22T00:00:00"/>
        <d v="2024-08-22T00:00:00"/>
        <d v="2024-01-30T00:00:00"/>
        <d v="2024-05-20T00:00:00"/>
        <d v="2024-04-12T00:00:00"/>
        <d v="2024-11-12T00:00:00"/>
        <d v="2024-02-02T00:00:00"/>
        <d v="2024-02-11T00:00:00"/>
        <d v="2024-04-17T00:00:00"/>
        <d v="2024-04-23T00:00:00"/>
        <d v="2024-01-19T00:00:00"/>
        <d v="2024-08-08T00:00:00"/>
        <d v="2024-03-27T00:00:00"/>
        <d v="2024-04-30T00:00:00"/>
        <d v="2024-10-22T00:00:00"/>
        <d v="2024-11-24T00:00:00"/>
        <d v="2024-02-12T00:00:00"/>
        <d v="2024-03-18T00:00:00"/>
        <d v="2024-03-19T00:00:00"/>
        <d v="2024-08-19T00:00:00"/>
        <d v="2024-02-27T00:00:00"/>
        <d v="2024-07-28T00:00:00"/>
        <d v="2024-01-02T00:00:00"/>
        <d v="2024-06-07T00:00:00"/>
        <d v="2024-02-22T00:00:00"/>
        <d v="2024-08-24T00:00:00"/>
        <d v="2024-03-13T00:00:00"/>
        <d v="2024-05-10T00:00:00"/>
        <d v="2024-07-03T00:00:00"/>
        <d v="2024-01-12T00:00:00"/>
        <d v="2024-12-10T00:00:00"/>
        <d v="2024-08-11T00:00:00"/>
        <d v="2024-09-12T00:00:00"/>
        <d v="2024-02-08T00:00:00"/>
        <d v="2024-04-24T00:00:00"/>
        <d v="2024-11-29T00:00:00"/>
        <d v="2024-01-25T00:00:00"/>
        <d v="2024-07-16T00:00:00"/>
        <d v="2024-08-18T00:00:00"/>
        <d v="2024-03-23T00:00:00"/>
        <d v="2024-08-25T00:00:00"/>
        <d v="2024-03-12T00:00:00"/>
        <d v="2024-04-14T00:00:00"/>
        <d v="2024-05-04T00:00:00"/>
        <d v="2024-03-07T00:00:00"/>
        <d v="2024-07-10T00:00:00"/>
        <d v="2024-07-08T00:00:00"/>
        <d v="2024-12-16T00:00:00"/>
        <d v="2024-03-17T00:00:00"/>
        <d v="2024-11-20T00:00:00"/>
        <d v="2024-08-29T00:00:00"/>
        <d v="2024-04-19T00:00:00"/>
        <d v="2024-12-30T00:00:00"/>
        <d v="2024-05-07T00:00:00"/>
        <d v="2024-01-03T00:00:00"/>
      </sharedItems>
      <fieldGroup par="16"/>
    </cacheField>
    <cacheField name="Delivery Date" numFmtId="165">
      <sharedItems containsSemiMixedTypes="0" containsNonDate="0" containsDate="1" containsString="0" minDate="2024-01-02T00:00:00" maxDate="2024-12-31T00:00:00"/>
    </cacheField>
    <cacheField name="Seller" numFmtId="0">
      <sharedItems count="4">
        <s v="Kate Smith"/>
        <s v="Laura Brown"/>
        <s v="Michael Jones"/>
        <s v="John Bell"/>
      </sharedItems>
    </cacheField>
    <cacheField name="City" numFmtId="0">
      <sharedItems/>
    </cacheField>
    <cacheField name="Customer ID" numFmtId="0">
      <sharedItems/>
    </cacheField>
    <cacheField name="Store ID" numFmtId="0">
      <sharedItems count="41">
        <s v="STORE5"/>
        <s v="STORE50"/>
        <s v="STORE27"/>
        <s v="STORE17"/>
        <s v="STORE6"/>
        <s v="STORE39"/>
        <s v="STORE44"/>
        <s v="STORE23"/>
        <s v="STORE40"/>
        <s v="STORE31"/>
        <s v="STORE24"/>
        <s v="STORE38"/>
        <s v="STORE32"/>
        <s v="STORE3"/>
        <s v="STORE46"/>
        <s v="STORE41"/>
        <s v="STORE12"/>
        <s v="STORE16"/>
        <s v="STORE22"/>
        <s v="STORE15"/>
        <s v="STORE10"/>
        <s v="STORE37"/>
        <s v="STORE2"/>
        <s v="STORE13"/>
        <s v="STORE42"/>
        <s v="STORE8"/>
        <s v="STORE30"/>
        <s v="STORE49"/>
        <s v="STORE9"/>
        <s v="STORE18"/>
        <s v="STORE36"/>
        <s v="STORE29"/>
        <s v="STORE45"/>
        <s v="STORE48"/>
        <s v="STORE25"/>
        <s v="STORE1"/>
        <s v="STORE11"/>
        <s v="STORE34"/>
        <s v="STORE28"/>
        <s v="STORE20"/>
        <s v="STORE19"/>
      </sharedItems>
    </cacheField>
    <cacheField name="Product Name" numFmtId="0">
      <sharedItems/>
    </cacheField>
    <cacheField name="Quantity Sold" numFmtId="1">
      <sharedItems containsSemiMixedTypes="0" containsString="0" containsNumber="1" containsInteger="1" minValue="1" maxValue="5"/>
    </cacheField>
    <cacheField name="Discount" numFmtId="9">
      <sharedItems containsSemiMixedTypes="0" containsString="0" containsNumber="1" minValue="0" maxValue="0.3"/>
    </cacheField>
    <cacheField name="Price per Unit" numFmtId="166">
      <sharedItems containsSemiMixedTypes="0" containsString="0" containsNumber="1" containsInteger="1" minValue="8" maxValue="80"/>
    </cacheField>
    <cacheField name="Total Sales before discount" numFmtId="166">
      <sharedItems containsSemiMixedTypes="0" containsString="0" containsNumber="1" containsInteger="1" minValue="8" maxValue="320"/>
    </cacheField>
    <cacheField name="Total Sales after discount" numFmtId="166">
      <sharedItems containsSemiMixedTypes="0" containsString="0" containsNumber="1" minValue="7.9783999999999997" maxValue="319.45600000000002"/>
    </cacheField>
    <cacheField name="Months (Order Date)" numFmtId="0" databaseField="0">
      <fieldGroup base="3">
        <rangePr groupBy="months" startDate="2024-01-02T00:00:00" endDate="2024-12-31T00:00:00"/>
        <groupItems count="14">
          <s v="&lt;02/01/2024"/>
          <s v="Jan"/>
          <s v="Feb"/>
          <s v="Mar"/>
          <s v="Apr"/>
          <s v="May"/>
          <s v="Jun"/>
          <s v="Jul"/>
          <s v="Aug"/>
          <s v="Sep"/>
          <s v="Oct"/>
          <s v="Nov"/>
          <s v="Dec"/>
          <s v="&gt;31/12/2024"/>
        </groupItems>
      </fieldGroup>
    </cacheField>
    <cacheField name="Quarters (Order Date)" numFmtId="0" databaseField="0">
      <fieldGroup base="3">
        <rangePr groupBy="quarters" startDate="2024-01-02T00:00:00" endDate="2024-12-31T00:00:00"/>
        <groupItems count="6">
          <s v="&lt;02/01/2024"/>
          <s v="Kwartał1"/>
          <s v="Kwartał2"/>
          <s v="Kwartał3"/>
          <s v="Kwartał4"/>
          <s v="&gt;31/12/2024"/>
        </groupItems>
      </fieldGroup>
    </cacheField>
  </cacheFields>
  <extLst>
    <ext xmlns:x14="http://schemas.microsoft.com/office/spreadsheetml/2009/9/main" uri="{725AE2AE-9491-48be-B2B4-4EB974FC3084}">
      <x14:pivotCacheDefinition pivotCacheId="308723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d v="2024-05-14T00:00:00"/>
    <x v="0"/>
    <s v="Liverpool"/>
    <s v="CUST2964"/>
    <x v="0"/>
    <s v="T-shirt"/>
    <n v="3"/>
    <n v="0.22"/>
    <n v="15"/>
    <n v="45"/>
    <n v="44.901000000000003"/>
  </r>
  <r>
    <s v="ORD0002"/>
    <x v="0"/>
    <x v="1"/>
    <x v="1"/>
    <d v="2024-04-18T00:00:00"/>
    <x v="0"/>
    <s v="Manchester"/>
    <s v="CUST4278"/>
    <x v="1"/>
    <s v="Sneakers"/>
    <n v="1"/>
    <n v="0.03"/>
    <n v="80"/>
    <n v="80"/>
    <n v="79.975999999999999"/>
  </r>
  <r>
    <s v="ORD0003"/>
    <x v="0"/>
    <x v="2"/>
    <x v="2"/>
    <d v="2024-02-25T00:00:00"/>
    <x v="0"/>
    <s v="Newcastle"/>
    <s v="CUST4758"/>
    <x v="2"/>
    <s v="Sneakers"/>
    <n v="1"/>
    <n v="0.28000000000000003"/>
    <n v="80"/>
    <n v="80"/>
    <n v="79.775999999999996"/>
  </r>
  <r>
    <s v="ORD0004"/>
    <x v="1"/>
    <x v="1"/>
    <x v="3"/>
    <d v="2024-08-24T00:00:00"/>
    <x v="0"/>
    <s v="Manchester"/>
    <s v="CUST1657"/>
    <x v="3"/>
    <s v="Backpack"/>
    <n v="1"/>
    <n v="0.03"/>
    <n v="25"/>
    <n v="25"/>
    <n v="24.9925"/>
  </r>
  <r>
    <s v="ORD0005"/>
    <x v="0"/>
    <x v="3"/>
    <x v="4"/>
    <d v="2024-09-02T00:00:00"/>
    <x v="0"/>
    <s v="Leeds"/>
    <s v="CUST9678"/>
    <x v="4"/>
    <s v="Gloves"/>
    <n v="2"/>
    <n v="0.25"/>
    <n v="8"/>
    <n v="16"/>
    <n v="15.96"/>
  </r>
  <r>
    <s v="ORD0006"/>
    <x v="1"/>
    <x v="4"/>
    <x v="5"/>
    <d v="2024-01-29T00:00:00"/>
    <x v="1"/>
    <s v="London"/>
    <s v="CUST2440"/>
    <x v="5"/>
    <s v="Hat"/>
    <n v="2"/>
    <n v="0.15"/>
    <n v="10"/>
    <n v="20"/>
    <n v="19.970000000000002"/>
  </r>
  <r>
    <s v="ORD0007"/>
    <x v="0"/>
    <x v="5"/>
    <x v="6"/>
    <d v="2024-07-17T00:00:00"/>
    <x v="2"/>
    <s v="Sheffield"/>
    <s v="CUST7096"/>
    <x v="6"/>
    <s v="Hat"/>
    <n v="5"/>
    <n v="0.15"/>
    <n v="10"/>
    <n v="50"/>
    <n v="49.925000000000004"/>
  </r>
  <r>
    <s v="ORD0008"/>
    <x v="0"/>
    <x v="5"/>
    <x v="7"/>
    <d v="2024-11-04T00:00:00"/>
    <x v="0"/>
    <s v="Sheffield"/>
    <s v="CUST2097"/>
    <x v="7"/>
    <s v="Gloves"/>
    <n v="2"/>
    <n v="0.2"/>
    <n v="8"/>
    <n v="16"/>
    <n v="15.968"/>
  </r>
  <r>
    <s v="ORD0009"/>
    <x v="0"/>
    <x v="4"/>
    <x v="8"/>
    <d v="2024-12-11T00:00:00"/>
    <x v="0"/>
    <s v="London"/>
    <s v="CUST2538"/>
    <x v="8"/>
    <s v="Backpack"/>
    <n v="1"/>
    <n v="0.04"/>
    <n v="25"/>
    <n v="25"/>
    <n v="24.990000000000002"/>
  </r>
  <r>
    <s v="ORD0010"/>
    <x v="0"/>
    <x v="0"/>
    <x v="9"/>
    <d v="2024-01-28T00:00:00"/>
    <x v="0"/>
    <s v="Liverpool"/>
    <s v="CUST6788"/>
    <x v="9"/>
    <s v="Jacket"/>
    <n v="5"/>
    <n v="0"/>
    <n v="60"/>
    <n v="300"/>
    <n v="300"/>
  </r>
  <r>
    <s v="ORD0011"/>
    <x v="0"/>
    <x v="5"/>
    <x v="10"/>
    <d v="2024-01-07T00:00:00"/>
    <x v="3"/>
    <s v="Sheffield"/>
    <s v="CUST1922"/>
    <x v="10"/>
    <s v="Sneakers"/>
    <n v="2"/>
    <n v="0.05"/>
    <n v="80"/>
    <n v="160"/>
    <n v="159.92000000000002"/>
  </r>
  <r>
    <s v="ORD0012"/>
    <x v="0"/>
    <x v="6"/>
    <x v="11"/>
    <d v="2024-05-23T00:00:00"/>
    <x v="1"/>
    <s v="Birmingham"/>
    <s v="CUST5828"/>
    <x v="11"/>
    <s v="Jacket"/>
    <n v="5"/>
    <n v="0.16"/>
    <n v="60"/>
    <n v="300"/>
    <n v="299.52"/>
  </r>
  <r>
    <s v="ORD0013"/>
    <x v="0"/>
    <x v="0"/>
    <x v="12"/>
    <d v="2024-06-25T00:00:00"/>
    <x v="1"/>
    <s v="Liverpool"/>
    <s v="CUST5300"/>
    <x v="12"/>
    <s v="Scarf"/>
    <n v="3"/>
    <n v="0.3"/>
    <n v="12"/>
    <n v="36"/>
    <n v="35.892000000000003"/>
  </r>
  <r>
    <s v="ORD0014"/>
    <x v="0"/>
    <x v="0"/>
    <x v="13"/>
    <d v="2024-05-18T00:00:00"/>
    <x v="3"/>
    <s v="Liverpool"/>
    <s v="CUST2282"/>
    <x v="13"/>
    <s v="T-shirt"/>
    <n v="1"/>
    <n v="0.06"/>
    <n v="15"/>
    <n v="15"/>
    <n v="14.991"/>
  </r>
  <r>
    <s v="ORD0015"/>
    <x v="1"/>
    <x v="2"/>
    <x v="14"/>
    <d v="2024-11-21T00:00:00"/>
    <x v="3"/>
    <s v="Newcastle"/>
    <s v="CUST4472"/>
    <x v="7"/>
    <s v="Scarf"/>
    <n v="2"/>
    <n v="7.0000000000000007E-2"/>
    <n v="12"/>
    <n v="24"/>
    <n v="23.9832"/>
  </r>
  <r>
    <s v="ORD0016"/>
    <x v="0"/>
    <x v="2"/>
    <x v="15"/>
    <d v="2024-12-15T00:00:00"/>
    <x v="0"/>
    <s v="Newcastle"/>
    <s v="CUST9797"/>
    <x v="10"/>
    <s v="Jacket"/>
    <n v="1"/>
    <n v="0.15"/>
    <n v="60"/>
    <n v="60"/>
    <n v="59.910000000000004"/>
  </r>
  <r>
    <s v="ORD0017"/>
    <x v="1"/>
    <x v="3"/>
    <x v="16"/>
    <d v="2024-07-05T00:00:00"/>
    <x v="0"/>
    <s v="Leeds"/>
    <s v="CUST4362"/>
    <x v="14"/>
    <s v="Scarf"/>
    <n v="3"/>
    <n v="0.14000000000000001"/>
    <n v="12"/>
    <n v="36"/>
    <n v="35.949600000000004"/>
  </r>
  <r>
    <s v="ORD0018"/>
    <x v="1"/>
    <x v="5"/>
    <x v="17"/>
    <d v="2024-07-09T00:00:00"/>
    <x v="3"/>
    <s v="Sheffield"/>
    <s v="CUST6737"/>
    <x v="1"/>
    <s v="Jacket"/>
    <n v="1"/>
    <n v="0.03"/>
    <n v="60"/>
    <n v="60"/>
    <n v="59.981999999999999"/>
  </r>
  <r>
    <s v="ORD0019"/>
    <x v="1"/>
    <x v="0"/>
    <x v="18"/>
    <d v="2024-06-08T00:00:00"/>
    <x v="2"/>
    <s v="Liverpool"/>
    <s v="CUST8367"/>
    <x v="11"/>
    <s v="Gloves"/>
    <n v="4"/>
    <n v="7.0000000000000007E-2"/>
    <n v="8"/>
    <n v="32"/>
    <n v="31.977599999999999"/>
  </r>
  <r>
    <s v="ORD0020"/>
    <x v="0"/>
    <x v="3"/>
    <x v="19"/>
    <d v="2024-03-09T00:00:00"/>
    <x v="1"/>
    <s v="Leeds"/>
    <s v="CUST9376"/>
    <x v="7"/>
    <s v="Sneakers"/>
    <n v="2"/>
    <n v="0.3"/>
    <n v="80"/>
    <n v="160"/>
    <n v="159.52000000000001"/>
  </r>
  <r>
    <s v="ORD0021"/>
    <x v="1"/>
    <x v="5"/>
    <x v="20"/>
    <d v="2024-03-15T00:00:00"/>
    <x v="0"/>
    <s v="Sheffield"/>
    <s v="CUST6351"/>
    <x v="15"/>
    <s v="Hat"/>
    <n v="3"/>
    <n v="0.17"/>
    <n v="10"/>
    <n v="30"/>
    <n v="29.948999999999998"/>
  </r>
  <r>
    <s v="ORD0022"/>
    <x v="0"/>
    <x v="5"/>
    <x v="21"/>
    <d v="2024-05-08T00:00:00"/>
    <x v="3"/>
    <s v="Sheffield"/>
    <s v="CUST1268"/>
    <x v="5"/>
    <s v="Gloves"/>
    <n v="5"/>
    <n v="0.26"/>
    <n v="8"/>
    <n v="40"/>
    <n v="39.896000000000001"/>
  </r>
  <r>
    <s v="ORD0023"/>
    <x v="0"/>
    <x v="7"/>
    <x v="22"/>
    <d v="2024-09-16T00:00:00"/>
    <x v="2"/>
    <s v="Bristol"/>
    <s v="CUST3714"/>
    <x v="11"/>
    <s v="Jeans"/>
    <n v="3"/>
    <n v="0.14000000000000001"/>
    <n v="40"/>
    <n v="120"/>
    <n v="119.83200000000001"/>
  </r>
  <r>
    <s v="ORD0024"/>
    <x v="0"/>
    <x v="4"/>
    <x v="23"/>
    <d v="2024-11-26T00:00:00"/>
    <x v="2"/>
    <s v="London"/>
    <s v="CUST8204"/>
    <x v="6"/>
    <s v="T-shirt"/>
    <n v="4"/>
    <n v="0.3"/>
    <n v="15"/>
    <n v="60"/>
    <n v="59.82"/>
  </r>
  <r>
    <s v="ORD0025"/>
    <x v="1"/>
    <x v="7"/>
    <x v="24"/>
    <d v="2024-11-04T00:00:00"/>
    <x v="2"/>
    <s v="Bristol"/>
    <s v="CUST8602"/>
    <x v="10"/>
    <s v="T-shirt"/>
    <n v="5"/>
    <n v="0.09"/>
    <n v="15"/>
    <n v="75"/>
    <n v="74.932500000000005"/>
  </r>
  <r>
    <s v="ORD0026"/>
    <x v="1"/>
    <x v="6"/>
    <x v="16"/>
    <d v="2024-06-30T00:00:00"/>
    <x v="3"/>
    <s v="Birmingham"/>
    <s v="CUST8806"/>
    <x v="16"/>
    <s v="Sneakers"/>
    <n v="4"/>
    <n v="0.17"/>
    <n v="80"/>
    <n v="320"/>
    <n v="319.45600000000002"/>
  </r>
  <r>
    <s v="ORD0027"/>
    <x v="0"/>
    <x v="3"/>
    <x v="25"/>
    <d v="2024-11-01T00:00:00"/>
    <x v="0"/>
    <s v="Leeds"/>
    <s v="CUST7656"/>
    <x v="11"/>
    <s v="T-shirt"/>
    <n v="4"/>
    <n v="0.28000000000000003"/>
    <n v="15"/>
    <n v="60"/>
    <n v="59.832000000000001"/>
  </r>
  <r>
    <s v="ORD0028"/>
    <x v="1"/>
    <x v="6"/>
    <x v="26"/>
    <d v="2024-05-05T00:00:00"/>
    <x v="0"/>
    <s v="Birmingham"/>
    <s v="CUST5695"/>
    <x v="17"/>
    <s v="Jacket"/>
    <n v="4"/>
    <n v="7.0000000000000007E-2"/>
    <n v="60"/>
    <n v="240"/>
    <n v="239.83199999999999"/>
  </r>
  <r>
    <s v="ORD0029"/>
    <x v="0"/>
    <x v="2"/>
    <x v="27"/>
    <d v="2024-02-19T00:00:00"/>
    <x v="2"/>
    <s v="Newcastle"/>
    <s v="CUST9854"/>
    <x v="8"/>
    <s v="Gloves"/>
    <n v="5"/>
    <n v="0.25"/>
    <n v="8"/>
    <n v="40"/>
    <n v="39.900000000000006"/>
  </r>
  <r>
    <s v="ORD0030"/>
    <x v="0"/>
    <x v="3"/>
    <x v="28"/>
    <d v="2024-05-24T00:00:00"/>
    <x v="3"/>
    <s v="Leeds"/>
    <s v="CUST2863"/>
    <x v="5"/>
    <s v="Scarf"/>
    <n v="5"/>
    <n v="0.02"/>
    <n v="12"/>
    <n v="60"/>
    <n v="59.988"/>
  </r>
  <r>
    <s v="ORD0031"/>
    <x v="1"/>
    <x v="1"/>
    <x v="29"/>
    <d v="2024-05-03T00:00:00"/>
    <x v="3"/>
    <s v="Manchester"/>
    <s v="CUST1708"/>
    <x v="18"/>
    <s v="T-shirt"/>
    <n v="2"/>
    <n v="0.28999999999999998"/>
    <n v="15"/>
    <n v="30"/>
    <n v="29.913"/>
  </r>
  <r>
    <s v="ORD0032"/>
    <x v="0"/>
    <x v="5"/>
    <x v="30"/>
    <d v="2024-12-29T00:00:00"/>
    <x v="3"/>
    <s v="Sheffield"/>
    <s v="CUST1767"/>
    <x v="15"/>
    <s v="Scarf"/>
    <n v="2"/>
    <n v="0.03"/>
    <n v="12"/>
    <n v="24"/>
    <n v="23.992800000000003"/>
  </r>
  <r>
    <s v="ORD0033"/>
    <x v="0"/>
    <x v="7"/>
    <x v="31"/>
    <d v="2024-10-10T00:00:00"/>
    <x v="1"/>
    <s v="Bristol"/>
    <s v="CUST9378"/>
    <x v="12"/>
    <s v="Sneakers"/>
    <n v="1"/>
    <n v="0.28999999999999998"/>
    <n v="80"/>
    <n v="80"/>
    <n v="79.768000000000001"/>
  </r>
  <r>
    <s v="ORD0034"/>
    <x v="0"/>
    <x v="1"/>
    <x v="32"/>
    <d v="2024-01-27T00:00:00"/>
    <x v="2"/>
    <s v="Manchester"/>
    <s v="CUST4195"/>
    <x v="17"/>
    <s v="Gloves"/>
    <n v="4"/>
    <n v="7.0000000000000007E-2"/>
    <n v="8"/>
    <n v="32"/>
    <n v="31.977599999999999"/>
  </r>
  <r>
    <s v="ORD0035"/>
    <x v="1"/>
    <x v="5"/>
    <x v="33"/>
    <d v="2024-07-06T00:00:00"/>
    <x v="2"/>
    <s v="Sheffield"/>
    <s v="CUST1107"/>
    <x v="14"/>
    <s v="Jacket"/>
    <n v="3"/>
    <n v="0.18"/>
    <n v="60"/>
    <n v="180"/>
    <n v="179.67599999999999"/>
  </r>
  <r>
    <s v="ORD0036"/>
    <x v="0"/>
    <x v="7"/>
    <x v="34"/>
    <d v="2024-07-31T00:00:00"/>
    <x v="3"/>
    <s v="Bristol"/>
    <s v="CUST7258"/>
    <x v="19"/>
    <s v="Jeans"/>
    <n v="2"/>
    <n v="0.06"/>
    <n v="40"/>
    <n v="80"/>
    <n v="79.951999999999998"/>
  </r>
  <r>
    <s v="ORD0037"/>
    <x v="1"/>
    <x v="0"/>
    <x v="35"/>
    <d v="2024-04-28T00:00:00"/>
    <x v="2"/>
    <s v="Liverpool"/>
    <s v="CUST1039"/>
    <x v="20"/>
    <s v="T-shirt"/>
    <n v="2"/>
    <n v="0.11"/>
    <n v="15"/>
    <n v="30"/>
    <n v="29.966999999999999"/>
  </r>
  <r>
    <s v="ORD0038"/>
    <x v="0"/>
    <x v="3"/>
    <x v="36"/>
    <d v="2024-08-22T00:00:00"/>
    <x v="2"/>
    <s v="Leeds"/>
    <s v="CUST5147"/>
    <x v="5"/>
    <s v="T-shirt"/>
    <n v="3"/>
    <n v="0.09"/>
    <n v="15"/>
    <n v="45"/>
    <n v="44.959499999999998"/>
  </r>
  <r>
    <s v="ORD0039"/>
    <x v="0"/>
    <x v="5"/>
    <x v="37"/>
    <d v="2024-01-30T00:00:00"/>
    <x v="3"/>
    <s v="Sheffield"/>
    <s v="CUST9740"/>
    <x v="21"/>
    <s v="Jacket"/>
    <n v="1"/>
    <n v="0.15"/>
    <n v="60"/>
    <n v="60"/>
    <n v="59.910000000000004"/>
  </r>
  <r>
    <s v="ORD0040"/>
    <x v="0"/>
    <x v="0"/>
    <x v="38"/>
    <d v="2024-05-20T00:00:00"/>
    <x v="2"/>
    <s v="Liverpool"/>
    <s v="CUST5039"/>
    <x v="13"/>
    <s v="Backpack"/>
    <n v="4"/>
    <n v="0.05"/>
    <n v="25"/>
    <n v="100"/>
    <n v="99.95"/>
  </r>
  <r>
    <s v="ORD0041"/>
    <x v="1"/>
    <x v="4"/>
    <x v="39"/>
    <d v="2024-04-18T00:00:00"/>
    <x v="1"/>
    <s v="London"/>
    <s v="CUST4081"/>
    <x v="22"/>
    <s v="T-shirt"/>
    <n v="3"/>
    <n v="0.13"/>
    <n v="15"/>
    <n v="45"/>
    <n v="44.941500000000005"/>
  </r>
  <r>
    <s v="ORD0042"/>
    <x v="1"/>
    <x v="4"/>
    <x v="40"/>
    <d v="2024-11-18T00:00:00"/>
    <x v="1"/>
    <s v="London"/>
    <s v="CUST1285"/>
    <x v="14"/>
    <s v="T-shirt"/>
    <n v="4"/>
    <n v="0.02"/>
    <n v="15"/>
    <n v="60"/>
    <n v="59.988"/>
  </r>
  <r>
    <s v="ORD0043"/>
    <x v="1"/>
    <x v="6"/>
    <x v="41"/>
    <d v="2024-02-07T00:00:00"/>
    <x v="3"/>
    <s v="Birmingham"/>
    <s v="CUST5778"/>
    <x v="9"/>
    <s v="Backpack"/>
    <n v="2"/>
    <n v="0.09"/>
    <n v="25"/>
    <n v="50"/>
    <n v="49.954999999999998"/>
  </r>
  <r>
    <s v="ORD0044"/>
    <x v="1"/>
    <x v="2"/>
    <x v="42"/>
    <d v="2024-02-13T00:00:00"/>
    <x v="2"/>
    <s v="Newcastle"/>
    <s v="CUST4608"/>
    <x v="12"/>
    <s v="Scarf"/>
    <n v="5"/>
    <n v="0.28999999999999998"/>
    <n v="12"/>
    <n v="60"/>
    <n v="59.826000000000001"/>
  </r>
  <r>
    <s v="ORD0045"/>
    <x v="0"/>
    <x v="2"/>
    <x v="43"/>
    <d v="2024-04-17T00:00:00"/>
    <x v="1"/>
    <s v="Newcastle"/>
    <s v="CUST2346"/>
    <x v="20"/>
    <s v="Jacket"/>
    <n v="2"/>
    <n v="0.16"/>
    <n v="60"/>
    <n v="120"/>
    <n v="119.80799999999999"/>
  </r>
  <r>
    <s v="ORD0046"/>
    <x v="1"/>
    <x v="2"/>
    <x v="40"/>
    <d v="2024-11-14T00:00:00"/>
    <x v="2"/>
    <s v="Newcastle"/>
    <s v="CUST6458"/>
    <x v="23"/>
    <s v="Scarf"/>
    <n v="2"/>
    <n v="0.22"/>
    <n v="12"/>
    <n v="24"/>
    <n v="23.947200000000002"/>
  </r>
  <r>
    <s v="ORD0047"/>
    <x v="1"/>
    <x v="7"/>
    <x v="44"/>
    <d v="2024-04-25T00:00:00"/>
    <x v="2"/>
    <s v="Bristol"/>
    <s v="CUST3023"/>
    <x v="1"/>
    <s v="Gloves"/>
    <n v="2"/>
    <n v="0.12"/>
    <n v="8"/>
    <n v="16"/>
    <n v="15.9808"/>
  </r>
  <r>
    <s v="ORD0048"/>
    <x v="0"/>
    <x v="4"/>
    <x v="45"/>
    <d v="2024-01-19T00:00:00"/>
    <x v="0"/>
    <s v="London"/>
    <s v="CUST9662"/>
    <x v="17"/>
    <s v="T-shirt"/>
    <n v="5"/>
    <n v="0.13"/>
    <n v="15"/>
    <n v="75"/>
    <n v="74.902500000000003"/>
  </r>
  <r>
    <s v="ORD0049"/>
    <x v="0"/>
    <x v="7"/>
    <x v="46"/>
    <d v="2024-08-08T00:00:00"/>
    <x v="1"/>
    <s v="Bristol"/>
    <s v="CUST9971"/>
    <x v="14"/>
    <s v="Jeans"/>
    <n v="3"/>
    <n v="0.04"/>
    <n v="40"/>
    <n v="120"/>
    <n v="119.952"/>
  </r>
  <r>
    <s v="ORD0050"/>
    <x v="1"/>
    <x v="0"/>
    <x v="47"/>
    <d v="2024-03-31T00:00:00"/>
    <x v="3"/>
    <s v="Liverpool"/>
    <s v="CUST2426"/>
    <x v="24"/>
    <s v="Gloves"/>
    <n v="3"/>
    <n v="0.27"/>
    <n v="8"/>
    <n v="24"/>
    <n v="23.935199999999998"/>
  </r>
  <r>
    <s v="ORD0051"/>
    <x v="1"/>
    <x v="3"/>
    <x v="48"/>
    <d v="2024-05-03T00:00:00"/>
    <x v="3"/>
    <s v="Leeds"/>
    <s v="CUST9269"/>
    <x v="21"/>
    <s v="T-shirt"/>
    <n v="1"/>
    <n v="0.04"/>
    <n v="15"/>
    <n v="15"/>
    <n v="14.994"/>
  </r>
  <r>
    <s v="ORD0052"/>
    <x v="1"/>
    <x v="5"/>
    <x v="49"/>
    <d v="2024-10-25T00:00:00"/>
    <x v="1"/>
    <s v="Sheffield"/>
    <s v="CUST6281"/>
    <x v="25"/>
    <s v="Backpack"/>
    <n v="4"/>
    <n v="0"/>
    <n v="25"/>
    <n v="100"/>
    <n v="100"/>
  </r>
  <r>
    <s v="ORD0053"/>
    <x v="1"/>
    <x v="2"/>
    <x v="50"/>
    <d v="2024-11-29T00:00:00"/>
    <x v="3"/>
    <s v="Newcastle"/>
    <s v="CUST7059"/>
    <x v="0"/>
    <s v="Jeans"/>
    <n v="2"/>
    <n v="0.24"/>
    <n v="40"/>
    <n v="80"/>
    <n v="79.808000000000007"/>
  </r>
  <r>
    <s v="ORD0054"/>
    <x v="1"/>
    <x v="1"/>
    <x v="50"/>
    <d v="2024-11-28T00:00:00"/>
    <x v="0"/>
    <s v="Manchester"/>
    <s v="CUST1478"/>
    <x v="25"/>
    <s v="Gloves"/>
    <n v="3"/>
    <n v="0.26"/>
    <n v="8"/>
    <n v="24"/>
    <n v="23.9376"/>
  </r>
  <r>
    <s v="ORD0055"/>
    <x v="1"/>
    <x v="3"/>
    <x v="51"/>
    <d v="2024-02-19T00:00:00"/>
    <x v="3"/>
    <s v="Leeds"/>
    <s v="CUST6463"/>
    <x v="26"/>
    <s v="Jeans"/>
    <n v="5"/>
    <n v="0.15"/>
    <n v="40"/>
    <n v="200"/>
    <n v="199.70000000000002"/>
  </r>
  <r>
    <s v="ORD0056"/>
    <x v="0"/>
    <x v="6"/>
    <x v="52"/>
    <d v="2024-03-18T00:00:00"/>
    <x v="0"/>
    <s v="Birmingham"/>
    <s v="CUST2168"/>
    <x v="14"/>
    <s v="T-shirt"/>
    <n v="5"/>
    <n v="0.23"/>
    <n v="15"/>
    <n v="75"/>
    <n v="74.827500000000001"/>
  </r>
  <r>
    <s v="ORD0057"/>
    <x v="1"/>
    <x v="2"/>
    <x v="53"/>
    <d v="2024-03-22T00:00:00"/>
    <x v="2"/>
    <s v="Newcastle"/>
    <s v="CUST2396"/>
    <x v="27"/>
    <s v="Jacket"/>
    <n v="5"/>
    <n v="0.06"/>
    <n v="60"/>
    <n v="300"/>
    <n v="299.82"/>
  </r>
  <r>
    <s v="ORD0058"/>
    <x v="1"/>
    <x v="0"/>
    <x v="54"/>
    <d v="2024-08-25T00:00:00"/>
    <x v="0"/>
    <s v="Liverpool"/>
    <s v="CUST5911"/>
    <x v="16"/>
    <s v="Backpack"/>
    <n v="3"/>
    <n v="0.1"/>
    <n v="25"/>
    <n v="75"/>
    <n v="74.924999999999997"/>
  </r>
  <r>
    <s v="ORD0059"/>
    <x v="0"/>
    <x v="4"/>
    <x v="55"/>
    <d v="2024-02-27T00:00:00"/>
    <x v="0"/>
    <s v="London"/>
    <s v="CUST9807"/>
    <x v="28"/>
    <s v="Scarf"/>
    <n v="3"/>
    <n v="0.25"/>
    <n v="12"/>
    <n v="36"/>
    <n v="35.910000000000004"/>
  </r>
  <r>
    <s v="ORD0060"/>
    <x v="0"/>
    <x v="4"/>
    <x v="45"/>
    <d v="2024-01-19T00:00:00"/>
    <x v="1"/>
    <s v="London"/>
    <s v="CUST2538"/>
    <x v="29"/>
    <s v="Scarf"/>
    <n v="5"/>
    <n v="0.19"/>
    <n v="12"/>
    <n v="60"/>
    <n v="59.885999999999996"/>
  </r>
  <r>
    <s v="ORD0061"/>
    <x v="0"/>
    <x v="0"/>
    <x v="56"/>
    <d v="2024-07-28T00:00:00"/>
    <x v="2"/>
    <s v="Liverpool"/>
    <s v="CUST4898"/>
    <x v="30"/>
    <s v="Jacket"/>
    <n v="2"/>
    <n v="0.09"/>
    <n v="60"/>
    <n v="120"/>
    <n v="119.892"/>
  </r>
  <r>
    <s v="ORD0062"/>
    <x v="0"/>
    <x v="3"/>
    <x v="57"/>
    <d v="2024-01-02T00:00:00"/>
    <x v="1"/>
    <s v="Leeds"/>
    <s v="CUST6197"/>
    <x v="19"/>
    <s v="T-shirt"/>
    <n v="4"/>
    <n v="0.12"/>
    <n v="15"/>
    <n v="60"/>
    <n v="59.928000000000004"/>
  </r>
  <r>
    <s v="ORD0063"/>
    <x v="0"/>
    <x v="2"/>
    <x v="58"/>
    <d v="2024-06-07T00:00:00"/>
    <x v="2"/>
    <s v="Newcastle"/>
    <s v="CUST9997"/>
    <x v="31"/>
    <s v="Backpack"/>
    <n v="4"/>
    <n v="7.0000000000000007E-2"/>
    <n v="25"/>
    <n v="100"/>
    <n v="99.929999999999993"/>
  </r>
  <r>
    <s v="ORD0064"/>
    <x v="0"/>
    <x v="4"/>
    <x v="59"/>
    <d v="2024-02-22T00:00:00"/>
    <x v="0"/>
    <s v="London"/>
    <s v="CUST3092"/>
    <x v="28"/>
    <s v="Jeans"/>
    <n v="2"/>
    <n v="0.06"/>
    <n v="40"/>
    <n v="80"/>
    <n v="79.951999999999998"/>
  </r>
  <r>
    <s v="ORD0065"/>
    <x v="0"/>
    <x v="4"/>
    <x v="60"/>
    <d v="2024-08-24T00:00:00"/>
    <x v="1"/>
    <s v="London"/>
    <s v="CUST3057"/>
    <x v="29"/>
    <s v="Hat"/>
    <n v="5"/>
    <n v="0.3"/>
    <n v="10"/>
    <n v="50"/>
    <n v="49.85"/>
  </r>
  <r>
    <s v="ORD0066"/>
    <x v="1"/>
    <x v="7"/>
    <x v="61"/>
    <d v="2024-03-19T00:00:00"/>
    <x v="1"/>
    <s v="Bristol"/>
    <s v="CUST8389"/>
    <x v="24"/>
    <s v="Jacket"/>
    <n v="1"/>
    <n v="0.13"/>
    <n v="60"/>
    <n v="60"/>
    <n v="59.922000000000004"/>
  </r>
  <r>
    <s v="ORD0067"/>
    <x v="0"/>
    <x v="5"/>
    <x v="62"/>
    <d v="2024-05-10T00:00:00"/>
    <x v="1"/>
    <s v="Sheffield"/>
    <s v="CUST5920"/>
    <x v="32"/>
    <s v="Hat"/>
    <n v="1"/>
    <n v="0.1"/>
    <n v="10"/>
    <n v="10"/>
    <n v="9.99"/>
  </r>
  <r>
    <s v="ORD0068"/>
    <x v="0"/>
    <x v="5"/>
    <x v="63"/>
    <d v="2024-07-03T00:00:00"/>
    <x v="3"/>
    <s v="Sheffield"/>
    <s v="CUST5794"/>
    <x v="8"/>
    <s v="Jeans"/>
    <n v="5"/>
    <n v="0.16"/>
    <n v="40"/>
    <n v="200"/>
    <n v="199.67999999999998"/>
  </r>
  <r>
    <s v="ORD0069"/>
    <x v="0"/>
    <x v="0"/>
    <x v="43"/>
    <d v="2024-04-17T00:00:00"/>
    <x v="2"/>
    <s v="Liverpool"/>
    <s v="CUST9000"/>
    <x v="25"/>
    <s v="Hat"/>
    <n v="5"/>
    <n v="0.21"/>
    <n v="10"/>
    <n v="50"/>
    <n v="49.895000000000003"/>
  </r>
  <r>
    <s v="ORD0070"/>
    <x v="1"/>
    <x v="5"/>
    <x v="64"/>
    <d v="2024-01-17T00:00:00"/>
    <x v="3"/>
    <s v="Sheffield"/>
    <s v="CUST7325"/>
    <x v="33"/>
    <s v="Scarf"/>
    <n v="1"/>
    <n v="0.23"/>
    <n v="12"/>
    <n v="12"/>
    <n v="11.9724"/>
  </r>
  <r>
    <s v="ORD0071"/>
    <x v="0"/>
    <x v="7"/>
    <x v="65"/>
    <d v="2024-12-10T00:00:00"/>
    <x v="2"/>
    <s v="Bristol"/>
    <s v="CUST2278"/>
    <x v="2"/>
    <s v="Gloves"/>
    <n v="1"/>
    <n v="0.27"/>
    <n v="8"/>
    <n v="8"/>
    <n v="7.9783999999999997"/>
  </r>
  <r>
    <s v="ORD0072"/>
    <x v="1"/>
    <x v="5"/>
    <x v="66"/>
    <d v="2024-08-17T00:00:00"/>
    <x v="3"/>
    <s v="Sheffield"/>
    <s v="CUST8111"/>
    <x v="23"/>
    <s v="Jacket"/>
    <n v="1"/>
    <n v="0.15"/>
    <n v="60"/>
    <n v="60"/>
    <n v="59.910000000000004"/>
  </r>
  <r>
    <s v="ORD0073"/>
    <x v="1"/>
    <x v="4"/>
    <x v="67"/>
    <d v="2024-09-15T00:00:00"/>
    <x v="3"/>
    <s v="London"/>
    <s v="CUST4869"/>
    <x v="21"/>
    <s v="Hat"/>
    <n v="3"/>
    <n v="0.06"/>
    <n v="10"/>
    <n v="30"/>
    <n v="29.981999999999999"/>
  </r>
  <r>
    <s v="ORD0074"/>
    <x v="0"/>
    <x v="7"/>
    <x v="68"/>
    <d v="2024-02-08T00:00:00"/>
    <x v="1"/>
    <s v="Bristol"/>
    <s v="CUST6563"/>
    <x v="34"/>
    <s v="Sneakers"/>
    <n v="3"/>
    <n v="0.25"/>
    <n v="80"/>
    <n v="240"/>
    <n v="239.4"/>
  </r>
  <r>
    <s v="ORD0075"/>
    <x v="1"/>
    <x v="4"/>
    <x v="69"/>
    <d v="2024-04-26T00:00:00"/>
    <x v="3"/>
    <s v="London"/>
    <s v="CUST3168"/>
    <x v="35"/>
    <s v="Gloves"/>
    <n v="5"/>
    <n v="0.21"/>
    <n v="8"/>
    <n v="40"/>
    <n v="39.915999999999997"/>
  </r>
  <r>
    <s v="ORD0076"/>
    <x v="1"/>
    <x v="4"/>
    <x v="70"/>
    <d v="2024-11-30T00:00:00"/>
    <x v="1"/>
    <s v="London"/>
    <s v="CUST8888"/>
    <x v="18"/>
    <s v="Jeans"/>
    <n v="1"/>
    <n v="0.08"/>
    <n v="40"/>
    <n v="40"/>
    <n v="39.967999999999996"/>
  </r>
  <r>
    <s v="ORD0077"/>
    <x v="0"/>
    <x v="4"/>
    <x v="50"/>
    <d v="2024-11-24T00:00:00"/>
    <x v="3"/>
    <s v="London"/>
    <s v="CUST6580"/>
    <x v="16"/>
    <s v="Backpack"/>
    <n v="4"/>
    <n v="0.09"/>
    <n v="25"/>
    <n v="100"/>
    <n v="99.91"/>
  </r>
  <r>
    <s v="ORD0078"/>
    <x v="1"/>
    <x v="2"/>
    <x v="1"/>
    <d v="2024-04-21T00:00:00"/>
    <x v="3"/>
    <s v="Newcastle"/>
    <s v="CUST2485"/>
    <x v="19"/>
    <s v="Hat"/>
    <n v="1"/>
    <n v="0.27"/>
    <n v="10"/>
    <n v="10"/>
    <n v="9.972999999999999"/>
  </r>
  <r>
    <s v="ORD0079"/>
    <x v="1"/>
    <x v="1"/>
    <x v="71"/>
    <d v="2024-02-01T00:00:00"/>
    <x v="2"/>
    <s v="Manchester"/>
    <s v="CUST6232"/>
    <x v="21"/>
    <s v="T-shirt"/>
    <n v="2"/>
    <n v="0.02"/>
    <n v="15"/>
    <n v="30"/>
    <n v="29.994"/>
  </r>
  <r>
    <s v="ORD0080"/>
    <x v="1"/>
    <x v="7"/>
    <x v="72"/>
    <d v="2024-07-19T00:00:00"/>
    <x v="1"/>
    <s v="Bristol"/>
    <s v="CUST4819"/>
    <x v="33"/>
    <s v="Jacket"/>
    <n v="1"/>
    <n v="0.15"/>
    <n v="60"/>
    <n v="60"/>
    <n v="59.910000000000004"/>
  </r>
  <r>
    <s v="ORD0081"/>
    <x v="0"/>
    <x v="6"/>
    <x v="73"/>
    <d v="2024-08-18T00:00:00"/>
    <x v="0"/>
    <s v="Birmingham"/>
    <s v="CUST3342"/>
    <x v="16"/>
    <s v="Sneakers"/>
    <n v="3"/>
    <n v="0.26"/>
    <n v="80"/>
    <n v="240"/>
    <n v="239.37599999999998"/>
  </r>
  <r>
    <s v="ORD0082"/>
    <x v="0"/>
    <x v="3"/>
    <x v="74"/>
    <d v="2024-03-23T00:00:00"/>
    <x v="0"/>
    <s v="Leeds"/>
    <s v="CUST7022"/>
    <x v="36"/>
    <s v="Gloves"/>
    <n v="3"/>
    <n v="0.18"/>
    <n v="8"/>
    <n v="24"/>
    <n v="23.956800000000001"/>
  </r>
  <r>
    <s v="ORD0083"/>
    <x v="1"/>
    <x v="1"/>
    <x v="75"/>
    <d v="2024-08-28T00:00:00"/>
    <x v="1"/>
    <s v="Manchester"/>
    <s v="CUST8686"/>
    <x v="31"/>
    <s v="Jeans"/>
    <n v="2"/>
    <n v="0.14000000000000001"/>
    <n v="40"/>
    <n v="80"/>
    <n v="79.888000000000005"/>
  </r>
  <r>
    <s v="ORD0084"/>
    <x v="0"/>
    <x v="4"/>
    <x v="76"/>
    <d v="2024-03-12T00:00:00"/>
    <x v="1"/>
    <s v="London"/>
    <s v="CUST7424"/>
    <x v="23"/>
    <s v="Jacket"/>
    <n v="5"/>
    <n v="0.16"/>
    <n v="60"/>
    <n v="300"/>
    <n v="299.52"/>
  </r>
  <r>
    <s v="ORD0085"/>
    <x v="1"/>
    <x v="3"/>
    <x v="77"/>
    <d v="2024-04-19T00:00:00"/>
    <x v="0"/>
    <s v="Leeds"/>
    <s v="CUST2121"/>
    <x v="22"/>
    <s v="Jacket"/>
    <n v="3"/>
    <n v="0.08"/>
    <n v="60"/>
    <n v="180"/>
    <n v="179.85599999999999"/>
  </r>
  <r>
    <s v="ORD0086"/>
    <x v="1"/>
    <x v="4"/>
    <x v="78"/>
    <d v="2024-05-10T00:00:00"/>
    <x v="2"/>
    <s v="London"/>
    <s v="CUST5121"/>
    <x v="12"/>
    <s v="Jacket"/>
    <n v="3"/>
    <n v="0.01"/>
    <n v="60"/>
    <n v="180"/>
    <n v="179.982"/>
  </r>
  <r>
    <s v="ORD0087"/>
    <x v="1"/>
    <x v="6"/>
    <x v="79"/>
    <d v="2024-03-10T00:00:00"/>
    <x v="0"/>
    <s v="Birmingham"/>
    <s v="CUST1853"/>
    <x v="7"/>
    <s v="T-shirt"/>
    <n v="3"/>
    <n v="0.1"/>
    <n v="15"/>
    <n v="45"/>
    <n v="44.954999999999998"/>
  </r>
  <r>
    <s v="ORD0088"/>
    <x v="0"/>
    <x v="4"/>
    <x v="80"/>
    <d v="2024-07-10T00:00:00"/>
    <x v="1"/>
    <s v="London"/>
    <s v="CUST5117"/>
    <x v="7"/>
    <s v="Sneakers"/>
    <n v="2"/>
    <n v="0.06"/>
    <n v="80"/>
    <n v="160"/>
    <n v="159.904"/>
  </r>
  <r>
    <s v="ORD0089"/>
    <x v="1"/>
    <x v="3"/>
    <x v="81"/>
    <d v="2024-07-14T00:00:00"/>
    <x v="1"/>
    <s v="Leeds"/>
    <s v="CUST2988"/>
    <x v="37"/>
    <s v="Scarf"/>
    <n v="3"/>
    <n v="0.05"/>
    <n v="12"/>
    <n v="36"/>
    <n v="35.981999999999999"/>
  </r>
  <r>
    <s v="ORD0090"/>
    <x v="0"/>
    <x v="2"/>
    <x v="82"/>
    <d v="2024-12-16T00:00:00"/>
    <x v="3"/>
    <s v="Newcastle"/>
    <s v="CUST5395"/>
    <x v="24"/>
    <s v="Jeans"/>
    <n v="4"/>
    <n v="0.24"/>
    <n v="40"/>
    <n v="160"/>
    <n v="159.61600000000001"/>
  </r>
  <r>
    <s v="ORD0091"/>
    <x v="0"/>
    <x v="5"/>
    <x v="83"/>
    <d v="2024-03-17T00:00:00"/>
    <x v="1"/>
    <s v="Sheffield"/>
    <s v="CUST5433"/>
    <x v="32"/>
    <s v="Jeans"/>
    <n v="3"/>
    <n v="0.15"/>
    <n v="40"/>
    <n v="120"/>
    <n v="119.82000000000001"/>
  </r>
  <r>
    <s v="ORD0092"/>
    <x v="0"/>
    <x v="4"/>
    <x v="84"/>
    <d v="2024-11-20T00:00:00"/>
    <x v="0"/>
    <s v="London"/>
    <s v="CUST4008"/>
    <x v="31"/>
    <s v="Sneakers"/>
    <n v="2"/>
    <n v="0.02"/>
    <n v="80"/>
    <n v="160"/>
    <n v="159.96800000000002"/>
  </r>
  <r>
    <s v="ORD0093"/>
    <x v="0"/>
    <x v="3"/>
    <x v="85"/>
    <d v="2024-08-29T00:00:00"/>
    <x v="3"/>
    <s v="Leeds"/>
    <s v="CUST7056"/>
    <x v="0"/>
    <s v="Scarf"/>
    <n v="1"/>
    <n v="0.01"/>
    <n v="12"/>
    <n v="12"/>
    <n v="11.998799999999999"/>
  </r>
  <r>
    <s v="ORD0094"/>
    <x v="1"/>
    <x v="3"/>
    <x v="63"/>
    <d v="2024-07-06T00:00:00"/>
    <x v="1"/>
    <s v="Leeds"/>
    <s v="CUST4367"/>
    <x v="4"/>
    <s v="Scarf"/>
    <n v="2"/>
    <n v="7.0000000000000007E-2"/>
    <n v="12"/>
    <n v="24"/>
    <n v="23.9832"/>
  </r>
  <r>
    <s v="ORD0095"/>
    <x v="1"/>
    <x v="4"/>
    <x v="18"/>
    <d v="2024-06-06T00:00:00"/>
    <x v="1"/>
    <s v="London"/>
    <s v="CUST9790"/>
    <x v="38"/>
    <s v="Jeans"/>
    <n v="4"/>
    <n v="0.2"/>
    <n v="40"/>
    <n v="160"/>
    <n v="159.68"/>
  </r>
  <r>
    <s v="ORD0096"/>
    <x v="1"/>
    <x v="1"/>
    <x v="86"/>
    <d v="2024-04-26T00:00:00"/>
    <x v="3"/>
    <s v="Manchester"/>
    <s v="CUST3446"/>
    <x v="17"/>
    <s v="Backpack"/>
    <n v="1"/>
    <n v="0.11"/>
    <n v="25"/>
    <n v="25"/>
    <n v="24.9725"/>
  </r>
  <r>
    <s v="ORD0097"/>
    <x v="0"/>
    <x v="6"/>
    <x v="87"/>
    <d v="2024-12-30T00:00:00"/>
    <x v="3"/>
    <s v="Birmingham"/>
    <s v="CUST7773"/>
    <x v="39"/>
    <s v="Scarf"/>
    <n v="3"/>
    <n v="0.08"/>
    <n v="12"/>
    <n v="36"/>
    <n v="35.971199999999996"/>
  </r>
  <r>
    <s v="ORD0098"/>
    <x v="1"/>
    <x v="0"/>
    <x v="88"/>
    <d v="2024-05-11T00:00:00"/>
    <x v="2"/>
    <s v="Liverpool"/>
    <s v="CUST2949"/>
    <x v="40"/>
    <s v="Sneakers"/>
    <n v="3"/>
    <n v="0.16"/>
    <n v="80"/>
    <n v="240"/>
    <n v="239.61599999999999"/>
  </r>
  <r>
    <s v="ORD0099"/>
    <x v="0"/>
    <x v="4"/>
    <x v="89"/>
    <d v="2024-01-03T00:00:00"/>
    <x v="3"/>
    <s v="London"/>
    <s v="CUST6223"/>
    <x v="2"/>
    <s v="Hat"/>
    <n v="4"/>
    <n v="0.27"/>
    <n v="10"/>
    <n v="40"/>
    <n v="39.891999999999996"/>
  </r>
  <r>
    <s v="ORD0100"/>
    <x v="0"/>
    <x v="5"/>
    <x v="48"/>
    <d v="2024-04-30T00:00:00"/>
    <x v="2"/>
    <s v="Sheffield"/>
    <s v="CUST6451"/>
    <x v="3"/>
    <s v="Hat"/>
    <n v="1"/>
    <n v="0.06"/>
    <n v="10"/>
    <n v="10"/>
    <n v="9.993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9B950-C914-4AEB-B7A0-68EDD1B7E6D0}" name="PivotTable1" cacheId="0" applyNumberFormats="0" applyBorderFormats="0" applyFontFormats="0" applyPatternFormats="0" applyAlignmentFormats="0" applyWidthHeightFormats="1" dataCaption="Values" grandTotalCaption="Total sum" updatedVersion="8" minRefreshableVersion="3" useAutoFormatting="1" itemPrintTitles="1" createdVersion="8" indent="0" outline="1" outlineData="1" multipleFieldFilters="0" chartFormat="3" rowHeaderCaption="Row label">
  <location ref="A3:B20" firstHeaderRow="1" firstDataRow="1" firstDataCol="1"/>
  <pivotFields count="17">
    <pivotField showAll="0"/>
    <pivotField showAll="0">
      <items count="3">
        <item x="0"/>
        <item x="1"/>
        <item t="default"/>
      </items>
    </pivotField>
    <pivotField showAll="0"/>
    <pivotField numFmtId="165" showAll="0">
      <items count="91">
        <item x="57"/>
        <item x="89"/>
        <item x="10"/>
        <item x="64"/>
        <item x="45"/>
        <item x="71"/>
        <item x="5"/>
        <item x="32"/>
        <item x="9"/>
        <item x="37"/>
        <item x="41"/>
        <item x="68"/>
        <item x="42"/>
        <item x="51"/>
        <item x="27"/>
        <item x="59"/>
        <item x="2"/>
        <item x="55"/>
        <item x="79"/>
        <item x="20"/>
        <item x="19"/>
        <item x="76"/>
        <item x="61"/>
        <item x="83"/>
        <item x="52"/>
        <item x="53"/>
        <item x="74"/>
        <item x="47"/>
        <item x="39"/>
        <item x="77"/>
        <item x="43"/>
        <item x="1"/>
        <item x="86"/>
        <item x="35"/>
        <item x="44"/>
        <item x="69"/>
        <item x="29"/>
        <item x="48"/>
        <item x="26"/>
        <item x="78"/>
        <item x="88"/>
        <item x="21"/>
        <item x="62"/>
        <item x="0"/>
        <item x="13"/>
        <item x="38"/>
        <item x="11"/>
        <item x="28"/>
        <item x="18"/>
        <item x="58"/>
        <item x="12"/>
        <item x="16"/>
        <item x="33"/>
        <item x="63"/>
        <item x="17"/>
        <item x="81"/>
        <item x="80"/>
        <item x="72"/>
        <item x="6"/>
        <item x="56"/>
        <item x="34"/>
        <item x="46"/>
        <item x="66"/>
        <item x="73"/>
        <item x="54"/>
        <item x="36"/>
        <item x="3"/>
        <item x="60"/>
        <item x="75"/>
        <item x="85"/>
        <item x="4"/>
        <item x="67"/>
        <item x="22"/>
        <item x="31"/>
        <item x="49"/>
        <item x="25"/>
        <item x="24"/>
        <item x="7"/>
        <item x="40"/>
        <item x="14"/>
        <item x="84"/>
        <item x="50"/>
        <item x="23"/>
        <item x="70"/>
        <item x="65"/>
        <item x="8"/>
        <item x="15"/>
        <item x="82"/>
        <item x="30"/>
        <item x="87"/>
        <item t="default"/>
      </items>
    </pivotField>
    <pivotField numFmtId="165" showAll="0"/>
    <pivotField showAll="0">
      <items count="5">
        <item x="3"/>
        <item x="0"/>
        <item x="1"/>
        <item x="2"/>
        <item t="default"/>
      </items>
    </pivotField>
    <pivotField showAll="0"/>
    <pivotField showAll="0"/>
    <pivotField showAll="0"/>
    <pivotField showAll="0"/>
    <pivotField numFmtId="1" showAll="0"/>
    <pivotField numFmtId="9" showAll="0"/>
    <pivotField numFmtId="166" showAll="0"/>
    <pivotField numFmtId="166" showAll="0"/>
    <pivotField dataField="1" numFmtId="166" showAll="0"/>
    <pivotField axis="axisRow" showAll="0">
      <items count="15">
        <item x="0"/>
        <item x="1"/>
        <item x="2"/>
        <item x="3"/>
        <item x="4"/>
        <item x="5"/>
        <item x="6"/>
        <item x="7"/>
        <item x="8"/>
        <item x="9"/>
        <item x="10"/>
        <item x="11"/>
        <item x="12"/>
        <item x="13"/>
        <item t="default"/>
      </items>
    </pivotField>
    <pivotField axis="axisRow" showAll="0">
      <items count="7">
        <item n="Q1" x="1"/>
        <item n="Q2" x="2"/>
        <item n="Q3" x="3"/>
        <item n="Q4" x="4"/>
        <item x="0"/>
        <item x="5"/>
        <item t="default"/>
      </items>
    </pivotField>
  </pivotFields>
  <rowFields count="2">
    <field x="16"/>
    <field x="15"/>
  </rowFields>
  <rowItems count="17">
    <i>
      <x/>
    </i>
    <i r="1">
      <x v="1"/>
    </i>
    <i r="1">
      <x v="2"/>
    </i>
    <i r="1">
      <x v="3"/>
    </i>
    <i>
      <x v="1"/>
    </i>
    <i r="1">
      <x v="4"/>
    </i>
    <i r="1">
      <x v="5"/>
    </i>
    <i r="1">
      <x v="6"/>
    </i>
    <i>
      <x v="2"/>
    </i>
    <i r="1">
      <x v="7"/>
    </i>
    <i r="1">
      <x v="8"/>
    </i>
    <i r="1">
      <x v="9"/>
    </i>
    <i>
      <x v="3"/>
    </i>
    <i r="1">
      <x v="10"/>
    </i>
    <i r="1">
      <x v="11"/>
    </i>
    <i r="1">
      <x v="12"/>
    </i>
    <i t="grand">
      <x/>
    </i>
  </rowItems>
  <colItems count="1">
    <i/>
  </colItems>
  <dataFields count="1">
    <dataField name="Sum of Total Sales after discount" fld="14" baseField="0" baseItem="0" numFmtId="167"/>
  </dataFields>
  <formats count="14">
    <format dxfId="50">
      <pivotArea collapsedLevelsAreSubtotals="1" fieldPosition="0">
        <references count="1">
          <reference field="16" count="1">
            <x v="0"/>
          </reference>
        </references>
      </pivotArea>
    </format>
    <format dxfId="49">
      <pivotArea collapsedLevelsAreSubtotals="1" fieldPosition="0">
        <references count="2">
          <reference field="15" count="3">
            <x v="1"/>
            <x v="2"/>
            <x v="3"/>
          </reference>
          <reference field="16" count="1" selected="0">
            <x v="0"/>
          </reference>
        </references>
      </pivotArea>
    </format>
    <format dxfId="48">
      <pivotArea collapsedLevelsAreSubtotals="1" fieldPosition="0">
        <references count="1">
          <reference field="16" count="1">
            <x v="1"/>
          </reference>
        </references>
      </pivotArea>
    </format>
    <format dxfId="47">
      <pivotArea collapsedLevelsAreSubtotals="1" fieldPosition="0">
        <references count="2">
          <reference field="15" count="3">
            <x v="4"/>
            <x v="5"/>
            <x v="6"/>
          </reference>
          <reference field="16" count="1" selected="0">
            <x v="1"/>
          </reference>
        </references>
      </pivotArea>
    </format>
    <format dxfId="46">
      <pivotArea collapsedLevelsAreSubtotals="1" fieldPosition="0">
        <references count="1">
          <reference field="16" count="1">
            <x v="2"/>
          </reference>
        </references>
      </pivotArea>
    </format>
    <format dxfId="45">
      <pivotArea collapsedLevelsAreSubtotals="1" fieldPosition="0">
        <references count="2">
          <reference field="15" count="3">
            <x v="7"/>
            <x v="8"/>
            <x v="9"/>
          </reference>
          <reference field="16" count="1" selected="0">
            <x v="2"/>
          </reference>
        </references>
      </pivotArea>
    </format>
    <format dxfId="44">
      <pivotArea collapsedLevelsAreSubtotals="1" fieldPosition="0">
        <references count="1">
          <reference field="16" count="1">
            <x v="3"/>
          </reference>
        </references>
      </pivotArea>
    </format>
    <format dxfId="43">
      <pivotArea collapsedLevelsAreSubtotals="1" fieldPosition="0">
        <references count="2">
          <reference field="15" count="3">
            <x v="10"/>
            <x v="11"/>
            <x v="12"/>
          </reference>
          <reference field="16" count="1" selected="0">
            <x v="3"/>
          </reference>
        </references>
      </pivotArea>
    </format>
    <format dxfId="42">
      <pivotArea field="16" type="button" dataOnly="0" labelOnly="1" outline="0" axis="axisRow" fieldPosition="0"/>
    </format>
    <format dxfId="41">
      <pivotArea dataOnly="0" labelOnly="1" outline="0" axis="axisValues" fieldPosition="0"/>
    </format>
    <format dxfId="40">
      <pivotArea field="16" type="button" dataOnly="0" labelOnly="1" outline="0" axis="axisRow" fieldPosition="0"/>
    </format>
    <format dxfId="39">
      <pivotArea field="16" type="button" dataOnly="0" labelOnly="1" outline="0" axis="axisRow" fieldPosition="0"/>
    </format>
    <format dxfId="38">
      <pivotArea dataOnly="0" outline="0" axis="axisValues" fieldPosition="0"/>
    </format>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9853D6-8DFF-461E-A88C-294DDA221CFC}" name="Tabela przestawna1" cacheId="0" applyNumberFormats="0" applyBorderFormats="0" applyFontFormats="0" applyPatternFormats="0" applyAlignmentFormats="0" applyWidthHeightFormats="1" dataCaption="Values" grandTotalCaption="Total sum" updatedVersion="8" minRefreshableVersion="3" useAutoFormatting="1" itemPrintTitles="1" createdVersion="8" indent="0" outline="1" outlineData="1" multipleFieldFilters="0" chartFormat="13" rowHeaderCaption="Row label">
  <location ref="A5:B11" firstHeaderRow="1" firstDataRow="1" firstDataCol="1"/>
  <pivotFields count="17">
    <pivotField showAll="0"/>
    <pivotField showAll="0">
      <items count="3">
        <item x="0"/>
        <item x="1"/>
        <item t="default"/>
      </items>
    </pivotField>
    <pivotField showAll="0"/>
    <pivotField numFmtId="165" showAll="0">
      <items count="91">
        <item x="57"/>
        <item x="89"/>
        <item x="10"/>
        <item x="64"/>
        <item x="45"/>
        <item x="71"/>
        <item x="5"/>
        <item x="32"/>
        <item x="9"/>
        <item x="37"/>
        <item x="41"/>
        <item x="68"/>
        <item x="42"/>
        <item x="51"/>
        <item x="27"/>
        <item x="59"/>
        <item x="2"/>
        <item x="55"/>
        <item x="79"/>
        <item x="20"/>
        <item x="19"/>
        <item x="76"/>
        <item x="61"/>
        <item x="83"/>
        <item x="52"/>
        <item x="53"/>
        <item x="74"/>
        <item x="47"/>
        <item x="39"/>
        <item x="77"/>
        <item x="43"/>
        <item x="1"/>
        <item x="86"/>
        <item x="35"/>
        <item x="44"/>
        <item x="69"/>
        <item x="29"/>
        <item x="48"/>
        <item x="26"/>
        <item x="78"/>
        <item x="88"/>
        <item x="21"/>
        <item x="62"/>
        <item x="0"/>
        <item x="13"/>
        <item x="38"/>
        <item x="11"/>
        <item x="28"/>
        <item x="18"/>
        <item x="58"/>
        <item x="12"/>
        <item x="16"/>
        <item x="33"/>
        <item x="63"/>
        <item x="17"/>
        <item x="81"/>
        <item x="80"/>
        <item x="72"/>
        <item x="6"/>
        <item x="56"/>
        <item x="34"/>
        <item x="46"/>
        <item x="66"/>
        <item x="73"/>
        <item x="54"/>
        <item x="36"/>
        <item x="3"/>
        <item x="60"/>
        <item x="75"/>
        <item x="85"/>
        <item x="4"/>
        <item x="67"/>
        <item x="22"/>
        <item x="31"/>
        <item x="49"/>
        <item x="25"/>
        <item x="24"/>
        <item x="7"/>
        <item x="40"/>
        <item x="14"/>
        <item x="84"/>
        <item x="50"/>
        <item x="23"/>
        <item x="70"/>
        <item x="65"/>
        <item x="8"/>
        <item x="15"/>
        <item x="82"/>
        <item x="30"/>
        <item x="87"/>
        <item t="default"/>
      </items>
    </pivotField>
    <pivotField numFmtId="165" showAll="0"/>
    <pivotField showAll="0">
      <items count="5">
        <item x="3"/>
        <item x="0"/>
        <item x="1"/>
        <item x="2"/>
        <item t="default"/>
      </items>
    </pivotField>
    <pivotField showAll="0"/>
    <pivotField showAll="0"/>
    <pivotField axis="axisRow" showAll="0" measureFilter="1" sortType="descending">
      <items count="42">
        <item x="35"/>
        <item x="20"/>
        <item x="36"/>
        <item x="16"/>
        <item x="23"/>
        <item x="19"/>
        <item x="17"/>
        <item x="3"/>
        <item x="29"/>
        <item x="40"/>
        <item x="22"/>
        <item x="39"/>
        <item x="18"/>
        <item x="7"/>
        <item x="10"/>
        <item x="34"/>
        <item x="2"/>
        <item x="38"/>
        <item x="31"/>
        <item x="13"/>
        <item x="26"/>
        <item x="9"/>
        <item x="12"/>
        <item x="37"/>
        <item x="30"/>
        <item x="21"/>
        <item x="11"/>
        <item x="5"/>
        <item x="8"/>
        <item x="15"/>
        <item x="24"/>
        <item x="6"/>
        <item x="32"/>
        <item x="14"/>
        <item x="33"/>
        <item x="27"/>
        <item x="0"/>
        <item x="1"/>
        <item x="4"/>
        <item x="25"/>
        <item x="28"/>
        <item t="default"/>
      </items>
      <autoSortScope>
        <pivotArea dataOnly="0" outline="0" fieldPosition="0">
          <references count="1">
            <reference field="4294967294" count="1" selected="0">
              <x v="0"/>
            </reference>
          </references>
        </pivotArea>
      </autoSortScope>
    </pivotField>
    <pivotField showAll="0"/>
    <pivotField numFmtId="1" showAll="0"/>
    <pivotField numFmtId="9" showAll="0"/>
    <pivotField numFmtId="166" showAll="0"/>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s>
  <rowFields count="1">
    <field x="8"/>
  </rowFields>
  <rowItems count="6">
    <i>
      <x v="3"/>
    </i>
    <i>
      <x v="26"/>
    </i>
    <i>
      <x v="33"/>
    </i>
    <i>
      <x v="13"/>
    </i>
    <i>
      <x v="4"/>
    </i>
    <i t="grand">
      <x/>
    </i>
  </rowItems>
  <colItems count="1">
    <i/>
  </colItems>
  <dataFields count="1">
    <dataField name="Sum of Total Sales after discount" fld="14" baseField="0" baseItem="0" numFmtId="167"/>
  </dataFields>
  <formats count="8">
    <format dxfId="36">
      <pivotArea collapsedLevelsAreSubtotals="1" fieldPosition="0">
        <references count="1">
          <reference field="8" count="5">
            <x v="3"/>
            <x v="4"/>
            <x v="13"/>
            <x v="26"/>
            <x v="33"/>
          </reference>
        </references>
      </pivotArea>
    </format>
    <format dxfId="35">
      <pivotArea field="8" type="button" dataOnly="0" labelOnly="1" outline="0" axis="axisRow" fieldPosition="0"/>
    </format>
    <format dxfId="34">
      <pivotArea dataOnly="0" labelOnly="1" outline="0" axis="axisValues" fieldPosition="0"/>
    </format>
    <format dxfId="33">
      <pivotArea field="8" type="button" dataOnly="0" labelOnly="1" outline="0" axis="axisRow" fieldPosition="0"/>
    </format>
    <format dxfId="32">
      <pivotArea dataOnly="0" labelOnly="1" outline="0" axis="axisValues" fieldPosition="0"/>
    </format>
    <format dxfId="31">
      <pivotArea field="8" type="button" dataOnly="0" labelOnly="1" outline="0" axis="axisRow" fieldPosition="0"/>
    </format>
    <format dxfId="30">
      <pivotArea dataOnly="0" labelOnly="1" outline="0" axis="axisValues" fieldPosition="0"/>
    </format>
    <format dxfId="29">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6BAE2-08C8-49C1-9E4C-73714D9A10D9}" name="Tabela przestawna2" cacheId="0" applyNumberFormats="0" applyBorderFormats="0" applyFontFormats="0" applyPatternFormats="0" applyAlignmentFormats="0" applyWidthHeightFormats="1" dataCaption="Values" grandTotalCaption="Total sum" updatedVersion="8" minRefreshableVersion="3" itemPrintTitles="1" createdVersion="8" indent="0" outline="1" outlineData="1" multipleFieldFilters="0" chartFormat="23" rowHeaderCaption="Row label">
  <location ref="A4:C13" firstHeaderRow="0" firstDataRow="1" firstDataCol="1"/>
  <pivotFields count="17">
    <pivotField showAll="0"/>
    <pivotField showAll="0">
      <items count="3">
        <item x="0"/>
        <item x="1"/>
        <item t="default"/>
      </items>
    </pivotField>
    <pivotField axis="axisRow" showAll="0" sortType="descending">
      <items count="47">
        <item m="1" x="14"/>
        <item m="1" x="28"/>
        <item m="1" x="38"/>
        <item m="1" x="39"/>
        <item m="1" x="20"/>
        <item m="1" x="26"/>
        <item m="1" x="44"/>
        <item m="1" x="36"/>
        <item m="1" x="12"/>
        <item m="1" x="21"/>
        <item m="1" x="27"/>
        <item m="1" x="37"/>
        <item m="1" x="41"/>
        <item m="1" x="11"/>
        <item m="1" x="23"/>
        <item m="1" x="19"/>
        <item m="1" x="42"/>
        <item m="1" x="32"/>
        <item m="1" x="8"/>
        <item m="1" x="15"/>
        <item m="1" x="18"/>
        <item m="1" x="40"/>
        <item m="1" x="9"/>
        <item m="1" x="24"/>
        <item m="1" x="25"/>
        <item m="1" x="45"/>
        <item m="1" x="29"/>
        <item m="1" x="10"/>
        <item m="1" x="16"/>
        <item m="1" x="34"/>
        <item m="1" x="43"/>
        <item m="1" x="17"/>
        <item m="1" x="13"/>
        <item m="1" x="31"/>
        <item m="1" x="33"/>
        <item m="1" x="35"/>
        <item m="1" x="22"/>
        <item m="1" x="30"/>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165" showAll="0">
      <items count="91">
        <item x="57"/>
        <item x="89"/>
        <item x="10"/>
        <item x="64"/>
        <item x="45"/>
        <item x="71"/>
        <item x="5"/>
        <item x="32"/>
        <item x="9"/>
        <item x="37"/>
        <item x="41"/>
        <item x="68"/>
        <item x="42"/>
        <item x="51"/>
        <item x="27"/>
        <item x="59"/>
        <item x="2"/>
        <item x="55"/>
        <item x="79"/>
        <item x="20"/>
        <item x="19"/>
        <item x="76"/>
        <item x="61"/>
        <item x="83"/>
        <item x="52"/>
        <item x="53"/>
        <item x="74"/>
        <item x="47"/>
        <item x="39"/>
        <item x="77"/>
        <item x="43"/>
        <item x="1"/>
        <item x="86"/>
        <item x="35"/>
        <item x="44"/>
        <item x="69"/>
        <item x="29"/>
        <item x="48"/>
        <item x="26"/>
        <item x="78"/>
        <item x="88"/>
        <item x="21"/>
        <item x="62"/>
        <item x="0"/>
        <item x="13"/>
        <item x="38"/>
        <item x="11"/>
        <item x="28"/>
        <item x="18"/>
        <item x="58"/>
        <item x="12"/>
        <item x="16"/>
        <item x="33"/>
        <item x="63"/>
        <item x="17"/>
        <item x="81"/>
        <item x="80"/>
        <item x="72"/>
        <item x="6"/>
        <item x="56"/>
        <item x="34"/>
        <item x="46"/>
        <item x="66"/>
        <item x="73"/>
        <item x="54"/>
        <item x="36"/>
        <item x="3"/>
        <item x="60"/>
        <item x="75"/>
        <item x="85"/>
        <item x="4"/>
        <item x="67"/>
        <item x="22"/>
        <item x="31"/>
        <item x="49"/>
        <item x="25"/>
        <item x="24"/>
        <item x="7"/>
        <item x="40"/>
        <item x="14"/>
        <item x="84"/>
        <item x="50"/>
        <item x="23"/>
        <item x="70"/>
        <item x="65"/>
        <item x="8"/>
        <item x="15"/>
        <item x="82"/>
        <item x="30"/>
        <item x="87"/>
        <item t="default"/>
      </items>
    </pivotField>
    <pivotField numFmtId="165" showAll="0"/>
    <pivotField showAll="0">
      <items count="5">
        <item x="3"/>
        <item x="0"/>
        <item x="1"/>
        <item x="2"/>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numFmtId="1" showAll="0"/>
    <pivotField numFmtId="9" showAll="0"/>
    <pivotField numFmtId="166" showAll="0"/>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s>
  <rowFields count="1">
    <field x="2"/>
  </rowFields>
  <rowItems count="9">
    <i>
      <x v="42"/>
    </i>
    <i>
      <x v="44"/>
    </i>
    <i>
      <x v="43"/>
    </i>
    <i>
      <x v="38"/>
    </i>
    <i>
      <x v="40"/>
    </i>
    <i>
      <x v="41"/>
    </i>
    <i>
      <x v="45"/>
    </i>
    <i>
      <x v="39"/>
    </i>
    <i t="grand">
      <x/>
    </i>
  </rowItems>
  <colFields count="1">
    <field x="-2"/>
  </colFields>
  <colItems count="2">
    <i>
      <x/>
    </i>
    <i i="1">
      <x v="1"/>
    </i>
  </colItems>
  <dataFields count="2">
    <dataField name="Sum of Total Sales after discount" fld="14" baseField="0" baseItem="0" numFmtId="167"/>
    <dataField name="Sum of otal Sales after discount" fld="14" baseField="2" baseItem="0" numFmtId="10">
      <extLst>
        <ext xmlns:x14="http://schemas.microsoft.com/office/spreadsheetml/2009/9/main" uri="{E15A36E0-9728-4e99-A89B-3F7291B0FE68}">
          <x14:dataField pivotShowAs="percentOfRunningTotal"/>
        </ext>
      </extLst>
    </dataField>
  </dataFields>
  <formats count="11">
    <format dxfId="0">
      <pivotArea collapsedLevelsAreSubtotals="1" fieldPosition="0">
        <references count="1">
          <reference field="2" count="1">
            <x v="32"/>
          </reference>
        </references>
      </pivotArea>
    </format>
    <format dxfId="1">
      <pivotArea outline="0" collapsedLevelsAreSubtotals="1" fieldPosition="0"/>
    </format>
    <format dxfId="2">
      <pivotArea dataOnly="0" labelOnly="1" outline="0" axis="axisValues" fieldPosition="0"/>
    </format>
    <format dxfId="3">
      <pivotArea outline="0" fieldPosition="0">
        <references count="1">
          <reference field="4294967294" count="1">
            <x v="1"/>
          </reference>
        </references>
      </pivotArea>
    </format>
    <format dxfId="4">
      <pivotArea field="2" type="button" dataOnly="0" labelOnly="1" outline="0" axis="axisRow" fieldPosition="0"/>
    </format>
    <format dxfId="5">
      <pivotArea dataOnly="0" labelOnly="1" outline="0" fieldPosition="0">
        <references count="1">
          <reference field="4294967294" count="2">
            <x v="0"/>
            <x v="1"/>
          </reference>
        </references>
      </pivotArea>
    </format>
    <format dxfId="6">
      <pivotArea field="2" type="button" dataOnly="0" labelOnly="1" outline="0" axis="axisRow" fieldPosition="0"/>
    </format>
    <format dxfId="7">
      <pivotArea dataOnly="0" labelOnly="1" outline="0" fieldPosition="0">
        <references count="1">
          <reference field="4294967294" count="2">
            <x v="0"/>
            <x v="1"/>
          </reference>
        </references>
      </pivotArea>
    </format>
    <format dxfId="8">
      <pivotArea field="2" type="button" dataOnly="0" labelOnly="1" outline="0" axis="axisRow" fieldPosition="0"/>
    </format>
    <format dxfId="9">
      <pivotArea dataOnly="0" labelOnly="1" outline="0" fieldPosition="0">
        <references count="1">
          <reference field="4294967294" count="2">
            <x v="0"/>
            <x v="1"/>
          </reference>
        </references>
      </pivotArea>
    </format>
    <format dxfId="10">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pivotArea type="data" outline="0" fieldPosition="0">
        <references count="2">
          <reference field="4294967294" count="1" selected="0">
            <x v="1"/>
          </reference>
          <reference field="2" count="1" selected="0">
            <x v="39"/>
          </reference>
        </references>
      </pivotArea>
    </chartFormat>
    <chartFormat chart="11" format="6">
      <pivotArea type="data" outline="0" fieldPosition="0">
        <references count="2">
          <reference field="4294967294" count="1" selected="0">
            <x v="1"/>
          </reference>
          <reference field="2" count="1" selected="0">
            <x v="45"/>
          </reference>
        </references>
      </pivotArea>
    </chartFormat>
    <chartFormat chart="11" format="7">
      <pivotArea type="data" outline="0" fieldPosition="0">
        <references count="2">
          <reference field="4294967294" count="1" selected="0">
            <x v="1"/>
          </reference>
          <reference field="2" count="1" selected="0">
            <x v="4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ragmentator_Sales_Channel" xr10:uid="{9416DB8C-0FF5-4DC2-B72B-47A5B2F0C9FA}" sourceName="Sales Channel">
  <pivotTables>
    <pivotTable tabId="5" name="Tabela przestawna1"/>
    <pivotTable tabId="4" name="PivotTable1"/>
    <pivotTable tabId="6" name="Tabela przestawna2"/>
  </pivotTables>
  <data>
    <tabular pivotCacheId="3087237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ragmentator_Seller" xr10:uid="{59FCF2EC-E0BB-4E3C-944E-982B73009565}" sourceName="Seller">
  <pivotTables>
    <pivotTable tabId="5" name="Tabela przestawna1"/>
    <pivotTable tabId="4" name="PivotTable1"/>
    <pivotTable tabId="6" name="Tabela przestawna2"/>
  </pivotTables>
  <data>
    <tabular pivotCacheId="30872370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C116C5E9-B143-45D6-93D6-EC10752BF21C}" cache="Fragmentator_Sales_Channel" caption="Sales Channel" style="Blue" rowHeight="108000"/>
  <slicer name="Seller" xr10:uid="{B688A742-79F4-449A-987C-13F4F475693A}" cache="Fragmentator_Seller" caption="Seller" style="Blue"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9CB140-6B52-41C5-BFEF-5BB05A55E624}" name="tab_source" displayName="tab_source" ref="A1:O101" totalsRowShown="0" headerRowDxfId="28" headerRowBorderDxfId="27" tableBorderDxfId="26">
  <autoFilter ref="A1:O101" xr:uid="{DD9CB140-6B52-41C5-BFEF-5BB05A55E624}"/>
  <tableColumns count="15">
    <tableColumn id="1" xr3:uid="{5A1588A1-2070-42E6-8EDD-A949F4707E3E}" name="Order ID" dataDxfId="25"/>
    <tableColumn id="2" xr3:uid="{C0542DA4-AACB-4A39-8583-0BC8CF1EFD5D}" name="Sales Channel" dataDxfId="24"/>
    <tableColumn id="3" xr3:uid="{0892920A-DA3B-4EC6-89D2-D96CF57E8291}" name="Warehouse" dataDxfId="23"/>
    <tableColumn id="4" xr3:uid="{6AA7906E-819C-487C-B4C8-3A60C1183BFC}" name="Order Date" dataDxfId="22"/>
    <tableColumn id="5" xr3:uid="{54B5DBC9-E060-42C5-A2F7-3285B4B53A86}" name="Delivery Date" dataDxfId="21"/>
    <tableColumn id="6" xr3:uid="{DDAB48F0-72E0-45BE-AF55-1C5986D8AD91}" name="Seller" dataDxfId="20"/>
    <tableColumn id="7" xr3:uid="{D5C04C5E-052C-491A-84C8-209180EAE7D8}" name="City" dataDxfId="19"/>
    <tableColumn id="8" xr3:uid="{136C38C7-5297-4E39-A0C9-0ABE4EEA4AEB}" name="Customer ID" dataDxfId="18"/>
    <tableColumn id="9" xr3:uid="{1A43600F-8DEB-4FBE-9FD7-874DBDA9B5E7}" name="Store ID" dataDxfId="17"/>
    <tableColumn id="10" xr3:uid="{0FC40163-9B0D-46A7-BA50-A053B1DD430E}" name="Product Name" dataDxfId="16"/>
    <tableColumn id="11" xr3:uid="{E38CFEBE-C6AF-4A54-B3FD-B418EF7FF096}" name="Quantity Sold" dataDxfId="15"/>
    <tableColumn id="12" xr3:uid="{CAABF2BE-E418-4C76-B286-E3C43912CCE5}" name="Discount" dataDxfId="14"/>
    <tableColumn id="13" xr3:uid="{7C24CAFC-46C2-4202-B513-31CFC10C53AA}" name="Price per Unit" dataDxfId="13"/>
    <tableColumn id="14" xr3:uid="{AFED7CDA-05E7-4104-9F2B-E4FC510CD2EC}" name="Total Sales before discount" dataDxfId="12">
      <calculatedColumnFormula>M2*K2</calculatedColumnFormula>
    </tableColumn>
    <tableColumn id="16" xr3:uid="{F81E8AEC-8456-4F3F-B896-A3C96787D8CA}" name="Total Sales after discount" dataDxfId="11">
      <calculatedColumnFormula>N2*(1-L2/100)</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7C47-4C01-47C3-AAC0-9C0EDF3D5381}">
  <dimension ref="A1"/>
  <sheetViews>
    <sheetView workbookViewId="0">
      <selection activeCell="Q23" sqref="Q23"/>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0EEF-34E7-4D61-A132-597E5B080A3C}">
  <dimension ref="A1"/>
  <sheetViews>
    <sheetView topLeftCell="A2" zoomScale="110" zoomScaleNormal="110" workbookViewId="0">
      <selection activeCell="S10" sqref="S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zoomScale="80" zoomScaleNormal="80" workbookViewId="0">
      <selection activeCell="O34" sqref="O34"/>
    </sheetView>
  </sheetViews>
  <sheetFormatPr defaultRowHeight="14.4" x14ac:dyDescent="0.3"/>
  <cols>
    <col min="1" max="1" width="16.109375" style="2" customWidth="1"/>
    <col min="2" max="2" width="18.44140625" style="3" customWidth="1"/>
    <col min="3" max="3" width="17.109375" style="3" customWidth="1"/>
    <col min="4" max="4" width="16.33203125" style="4" customWidth="1"/>
    <col min="5" max="5" width="18.5546875" customWidth="1"/>
    <col min="6" max="6" width="17.77734375" style="3" customWidth="1"/>
    <col min="7" max="7" width="14.6640625" style="3" customWidth="1"/>
    <col min="8" max="8" width="19.21875" style="2" customWidth="1"/>
    <col min="9" max="9" width="13.88671875" style="2" customWidth="1"/>
    <col min="10" max="10" width="16.5546875" style="3" customWidth="1"/>
    <col min="11" max="11" width="18.33203125" style="5" customWidth="1"/>
    <col min="12" max="12" width="14.88671875" style="6" customWidth="1"/>
    <col min="13" max="13" width="18.33203125" style="12" customWidth="1"/>
    <col min="14" max="14" width="20.6640625" style="12" customWidth="1"/>
    <col min="15" max="15" width="17.44140625" style="14" customWidth="1"/>
  </cols>
  <sheetData>
    <row r="1" spans="1:15" s="1" customFormat="1" ht="28.8" x14ac:dyDescent="0.3">
      <c r="A1" s="7" t="s">
        <v>0</v>
      </c>
      <c r="B1" s="7" t="s">
        <v>1</v>
      </c>
      <c r="C1" s="7" t="s">
        <v>2</v>
      </c>
      <c r="D1" s="10" t="s">
        <v>3</v>
      </c>
      <c r="E1" s="7" t="s">
        <v>270</v>
      </c>
      <c r="F1" s="7" t="s">
        <v>4</v>
      </c>
      <c r="G1" s="7" t="s">
        <v>5</v>
      </c>
      <c r="H1" s="7" t="s">
        <v>6</v>
      </c>
      <c r="I1" s="7" t="s">
        <v>7</v>
      </c>
      <c r="J1" s="7" t="s">
        <v>8</v>
      </c>
      <c r="K1" s="8" t="s">
        <v>9</v>
      </c>
      <c r="L1" s="9" t="s">
        <v>10</v>
      </c>
      <c r="M1" s="11" t="s">
        <v>11</v>
      </c>
      <c r="N1" s="11" t="s">
        <v>275</v>
      </c>
      <c r="O1" s="13" t="s">
        <v>276</v>
      </c>
    </row>
    <row r="2" spans="1:15" x14ac:dyDescent="0.3">
      <c r="A2" s="2" t="s">
        <v>12</v>
      </c>
      <c r="B2" s="3" t="s">
        <v>112</v>
      </c>
      <c r="C2" s="3" t="s">
        <v>279</v>
      </c>
      <c r="D2" s="4">
        <v>45426</v>
      </c>
      <c r="E2" s="4">
        <v>45426</v>
      </c>
      <c r="F2" s="3" t="s">
        <v>271</v>
      </c>
      <c r="G2" s="3" t="s">
        <v>114</v>
      </c>
      <c r="H2" s="2" t="s">
        <v>122</v>
      </c>
      <c r="I2" s="2" t="s">
        <v>221</v>
      </c>
      <c r="J2" s="3" t="s">
        <v>262</v>
      </c>
      <c r="K2" s="5">
        <v>3</v>
      </c>
      <c r="L2" s="6">
        <v>0.22</v>
      </c>
      <c r="M2" s="12">
        <v>15</v>
      </c>
      <c r="N2" s="12">
        <f>M2*K2</f>
        <v>45</v>
      </c>
      <c r="O2" s="14">
        <f>N2*(1-L2/100)</f>
        <v>44.901000000000003</v>
      </c>
    </row>
    <row r="3" spans="1:15" x14ac:dyDescent="0.3">
      <c r="A3" s="2" t="s">
        <v>13</v>
      </c>
      <c r="B3" s="3" t="s">
        <v>112</v>
      </c>
      <c r="C3" s="3" t="s">
        <v>280</v>
      </c>
      <c r="D3" s="4">
        <v>45400</v>
      </c>
      <c r="E3" s="4">
        <v>45400</v>
      </c>
      <c r="F3" s="3" t="s">
        <v>271</v>
      </c>
      <c r="G3" s="3" t="s">
        <v>115</v>
      </c>
      <c r="H3" s="2" t="s">
        <v>123</v>
      </c>
      <c r="I3" s="2" t="s">
        <v>222</v>
      </c>
      <c r="J3" s="3" t="s">
        <v>263</v>
      </c>
      <c r="K3" s="5">
        <v>1</v>
      </c>
      <c r="L3" s="6">
        <v>0.03</v>
      </c>
      <c r="M3" s="12">
        <v>80</v>
      </c>
      <c r="N3" s="12">
        <f t="shared" ref="N3:N66" si="0">M3*K3</f>
        <v>80</v>
      </c>
      <c r="O3" s="14">
        <f t="shared" ref="O3:O33" si="1">N3*(1-L3/100)</f>
        <v>79.975999999999999</v>
      </c>
    </row>
    <row r="4" spans="1:15" x14ac:dyDescent="0.3">
      <c r="A4" s="2" t="s">
        <v>14</v>
      </c>
      <c r="B4" s="3" t="s">
        <v>112</v>
      </c>
      <c r="C4" s="3" t="s">
        <v>281</v>
      </c>
      <c r="D4" s="4">
        <v>45347</v>
      </c>
      <c r="E4" s="4">
        <v>45347</v>
      </c>
      <c r="F4" s="3" t="s">
        <v>271</v>
      </c>
      <c r="G4" s="3" t="s">
        <v>116</v>
      </c>
      <c r="H4" s="2" t="s">
        <v>124</v>
      </c>
      <c r="I4" s="2" t="s">
        <v>223</v>
      </c>
      <c r="J4" s="3" t="s">
        <v>263</v>
      </c>
      <c r="K4" s="5">
        <v>1</v>
      </c>
      <c r="L4" s="6">
        <v>0.28000000000000003</v>
      </c>
      <c r="M4" s="12">
        <v>80</v>
      </c>
      <c r="N4" s="12">
        <f t="shared" si="0"/>
        <v>80</v>
      </c>
      <c r="O4" s="14">
        <f t="shared" si="1"/>
        <v>79.775999999999996</v>
      </c>
    </row>
    <row r="5" spans="1:15" x14ac:dyDescent="0.3">
      <c r="A5" s="2" t="s">
        <v>15</v>
      </c>
      <c r="B5" s="3" t="s">
        <v>113</v>
      </c>
      <c r="C5" s="3" t="s">
        <v>280</v>
      </c>
      <c r="D5" s="4">
        <v>45527</v>
      </c>
      <c r="E5" s="4">
        <v>45528</v>
      </c>
      <c r="F5" s="3" t="s">
        <v>271</v>
      </c>
      <c r="G5" s="3" t="s">
        <v>115</v>
      </c>
      <c r="H5" s="2" t="s">
        <v>125</v>
      </c>
      <c r="I5" s="2" t="s">
        <v>224</v>
      </c>
      <c r="J5" s="3" t="s">
        <v>264</v>
      </c>
      <c r="K5" s="5">
        <v>1</v>
      </c>
      <c r="L5" s="6">
        <v>0.03</v>
      </c>
      <c r="M5" s="12">
        <v>25</v>
      </c>
      <c r="N5" s="12">
        <f t="shared" si="0"/>
        <v>25</v>
      </c>
      <c r="O5" s="14">
        <f t="shared" si="1"/>
        <v>24.9925</v>
      </c>
    </row>
    <row r="6" spans="1:15" x14ac:dyDescent="0.3">
      <c r="A6" s="2" t="s">
        <v>16</v>
      </c>
      <c r="B6" s="3" t="s">
        <v>112</v>
      </c>
      <c r="C6" s="3" t="s">
        <v>282</v>
      </c>
      <c r="D6" s="4">
        <v>45537</v>
      </c>
      <c r="E6" s="4">
        <v>45537</v>
      </c>
      <c r="F6" s="3" t="s">
        <v>271</v>
      </c>
      <c r="G6" s="3" t="s">
        <v>117</v>
      </c>
      <c r="H6" s="2" t="s">
        <v>126</v>
      </c>
      <c r="I6" s="2" t="s">
        <v>225</v>
      </c>
      <c r="J6" s="3" t="s">
        <v>265</v>
      </c>
      <c r="K6" s="5">
        <v>2</v>
      </c>
      <c r="L6" s="6">
        <v>0.25</v>
      </c>
      <c r="M6" s="12">
        <v>8</v>
      </c>
      <c r="N6" s="12">
        <f t="shared" si="0"/>
        <v>16</v>
      </c>
      <c r="O6" s="14">
        <f t="shared" si="1"/>
        <v>15.96</v>
      </c>
    </row>
    <row r="7" spans="1:15" x14ac:dyDescent="0.3">
      <c r="A7" s="2" t="s">
        <v>17</v>
      </c>
      <c r="B7" s="3" t="s">
        <v>113</v>
      </c>
      <c r="C7" s="3" t="s">
        <v>283</v>
      </c>
      <c r="D7" s="4">
        <v>45317</v>
      </c>
      <c r="E7" s="4">
        <v>45320</v>
      </c>
      <c r="F7" s="3" t="s">
        <v>274</v>
      </c>
      <c r="G7" s="3" t="s">
        <v>118</v>
      </c>
      <c r="H7" s="2" t="s">
        <v>127</v>
      </c>
      <c r="I7" s="2" t="s">
        <v>226</v>
      </c>
      <c r="J7" s="3" t="s">
        <v>266</v>
      </c>
      <c r="K7" s="5">
        <v>2</v>
      </c>
      <c r="L7" s="6">
        <v>0.15</v>
      </c>
      <c r="M7" s="12">
        <v>10</v>
      </c>
      <c r="N7" s="12">
        <f t="shared" si="0"/>
        <v>20</v>
      </c>
      <c r="O7" s="14">
        <f t="shared" si="1"/>
        <v>19.970000000000002</v>
      </c>
    </row>
    <row r="8" spans="1:15" x14ac:dyDescent="0.3">
      <c r="A8" s="2" t="s">
        <v>18</v>
      </c>
      <c r="B8" s="3" t="s">
        <v>112</v>
      </c>
      <c r="C8" s="3" t="s">
        <v>284</v>
      </c>
      <c r="D8" s="4">
        <v>45490</v>
      </c>
      <c r="E8" s="4">
        <v>45490</v>
      </c>
      <c r="F8" s="3" t="s">
        <v>273</v>
      </c>
      <c r="G8" s="3" t="s">
        <v>119</v>
      </c>
      <c r="H8" s="2" t="s">
        <v>128</v>
      </c>
      <c r="I8" s="2" t="s">
        <v>227</v>
      </c>
      <c r="J8" s="3" t="s">
        <v>266</v>
      </c>
      <c r="K8" s="5">
        <v>5</v>
      </c>
      <c r="L8" s="6">
        <v>0.15</v>
      </c>
      <c r="M8" s="12">
        <v>10</v>
      </c>
      <c r="N8" s="12">
        <f t="shared" si="0"/>
        <v>50</v>
      </c>
      <c r="O8" s="14">
        <f t="shared" si="1"/>
        <v>49.925000000000004</v>
      </c>
    </row>
    <row r="9" spans="1:15" x14ac:dyDescent="0.3">
      <c r="A9" s="2" t="s">
        <v>19</v>
      </c>
      <c r="B9" s="3" t="s">
        <v>112</v>
      </c>
      <c r="C9" s="3" t="s">
        <v>284</v>
      </c>
      <c r="D9" s="4">
        <v>45600</v>
      </c>
      <c r="E9" s="4">
        <v>45600</v>
      </c>
      <c r="F9" s="3" t="s">
        <v>271</v>
      </c>
      <c r="G9" s="3" t="s">
        <v>119</v>
      </c>
      <c r="H9" s="2" t="s">
        <v>129</v>
      </c>
      <c r="I9" s="2" t="s">
        <v>228</v>
      </c>
      <c r="J9" s="3" t="s">
        <v>265</v>
      </c>
      <c r="K9" s="5">
        <v>2</v>
      </c>
      <c r="L9" s="6">
        <v>0.2</v>
      </c>
      <c r="M9" s="12">
        <v>8</v>
      </c>
      <c r="N9" s="12">
        <f t="shared" si="0"/>
        <v>16</v>
      </c>
      <c r="O9" s="14">
        <f t="shared" si="1"/>
        <v>15.968</v>
      </c>
    </row>
    <row r="10" spans="1:15" x14ac:dyDescent="0.3">
      <c r="A10" s="2" t="s">
        <v>20</v>
      </c>
      <c r="B10" s="3" t="s">
        <v>112</v>
      </c>
      <c r="C10" s="3" t="s">
        <v>283</v>
      </c>
      <c r="D10" s="4">
        <v>45637</v>
      </c>
      <c r="E10" s="4">
        <v>45637</v>
      </c>
      <c r="F10" s="3" t="s">
        <v>271</v>
      </c>
      <c r="G10" s="3" t="s">
        <v>118</v>
      </c>
      <c r="H10" s="2" t="s">
        <v>130</v>
      </c>
      <c r="I10" s="2" t="s">
        <v>229</v>
      </c>
      <c r="J10" s="3" t="s">
        <v>264</v>
      </c>
      <c r="K10" s="5">
        <v>1</v>
      </c>
      <c r="L10" s="6">
        <v>0.04</v>
      </c>
      <c r="M10" s="12">
        <v>25</v>
      </c>
      <c r="N10" s="12">
        <f t="shared" si="0"/>
        <v>25</v>
      </c>
      <c r="O10" s="14">
        <f t="shared" si="1"/>
        <v>24.990000000000002</v>
      </c>
    </row>
    <row r="11" spans="1:15" x14ac:dyDescent="0.3">
      <c r="A11" s="2" t="s">
        <v>21</v>
      </c>
      <c r="B11" s="3" t="s">
        <v>112</v>
      </c>
      <c r="C11" s="3" t="s">
        <v>279</v>
      </c>
      <c r="D11" s="4">
        <v>45319</v>
      </c>
      <c r="E11" s="4">
        <v>45319</v>
      </c>
      <c r="F11" s="3" t="s">
        <v>271</v>
      </c>
      <c r="G11" s="3" t="s">
        <v>114</v>
      </c>
      <c r="H11" s="2" t="s">
        <v>131</v>
      </c>
      <c r="I11" s="2" t="s">
        <v>230</v>
      </c>
      <c r="J11" s="3" t="s">
        <v>267</v>
      </c>
      <c r="K11" s="5">
        <v>5</v>
      </c>
      <c r="L11" s="6">
        <v>0</v>
      </c>
      <c r="M11" s="12">
        <v>60</v>
      </c>
      <c r="N11" s="12">
        <f t="shared" si="0"/>
        <v>300</v>
      </c>
      <c r="O11" s="14">
        <f t="shared" si="1"/>
        <v>300</v>
      </c>
    </row>
    <row r="12" spans="1:15" x14ac:dyDescent="0.3">
      <c r="A12" s="2" t="s">
        <v>22</v>
      </c>
      <c r="B12" s="3" t="s">
        <v>112</v>
      </c>
      <c r="C12" s="3" t="s">
        <v>284</v>
      </c>
      <c r="D12" s="4">
        <v>45298</v>
      </c>
      <c r="E12" s="4">
        <v>45298</v>
      </c>
      <c r="F12" s="3" t="s">
        <v>272</v>
      </c>
      <c r="G12" s="3" t="s">
        <v>119</v>
      </c>
      <c r="H12" s="2" t="s">
        <v>132</v>
      </c>
      <c r="I12" s="2" t="s">
        <v>231</v>
      </c>
      <c r="J12" s="3" t="s">
        <v>263</v>
      </c>
      <c r="K12" s="5">
        <v>2</v>
      </c>
      <c r="L12" s="6">
        <v>0.05</v>
      </c>
      <c r="M12" s="12">
        <v>80</v>
      </c>
      <c r="N12" s="12">
        <f t="shared" si="0"/>
        <v>160</v>
      </c>
      <c r="O12" s="14">
        <f t="shared" si="1"/>
        <v>159.92000000000002</v>
      </c>
    </row>
    <row r="13" spans="1:15" x14ac:dyDescent="0.3">
      <c r="A13" s="2" t="s">
        <v>23</v>
      </c>
      <c r="B13" s="3" t="s">
        <v>112</v>
      </c>
      <c r="C13" s="3" t="s">
        <v>285</v>
      </c>
      <c r="D13" s="4">
        <v>45435</v>
      </c>
      <c r="E13" s="4">
        <v>45435</v>
      </c>
      <c r="F13" s="3" t="s">
        <v>274</v>
      </c>
      <c r="G13" s="3" t="s">
        <v>120</v>
      </c>
      <c r="H13" s="2" t="s">
        <v>133</v>
      </c>
      <c r="I13" s="2" t="s">
        <v>232</v>
      </c>
      <c r="J13" s="3" t="s">
        <v>267</v>
      </c>
      <c r="K13" s="5">
        <v>5</v>
      </c>
      <c r="L13" s="6">
        <v>0.16</v>
      </c>
      <c r="M13" s="12">
        <v>60</v>
      </c>
      <c r="N13" s="12">
        <f t="shared" si="0"/>
        <v>300</v>
      </c>
      <c r="O13" s="14">
        <f t="shared" si="1"/>
        <v>299.52</v>
      </c>
    </row>
    <row r="14" spans="1:15" x14ac:dyDescent="0.3">
      <c r="A14" s="2" t="s">
        <v>24</v>
      </c>
      <c r="B14" s="3" t="s">
        <v>112</v>
      </c>
      <c r="C14" s="3" t="s">
        <v>279</v>
      </c>
      <c r="D14" s="4">
        <v>45468</v>
      </c>
      <c r="E14" s="4">
        <v>45468</v>
      </c>
      <c r="F14" s="3" t="s">
        <v>274</v>
      </c>
      <c r="G14" s="3" t="s">
        <v>114</v>
      </c>
      <c r="H14" s="2" t="s">
        <v>134</v>
      </c>
      <c r="I14" s="2" t="s">
        <v>233</v>
      </c>
      <c r="J14" s="3" t="s">
        <v>268</v>
      </c>
      <c r="K14" s="5">
        <v>3</v>
      </c>
      <c r="L14" s="6">
        <v>0.3</v>
      </c>
      <c r="M14" s="12">
        <v>12</v>
      </c>
      <c r="N14" s="12">
        <f t="shared" si="0"/>
        <v>36</v>
      </c>
      <c r="O14" s="14">
        <f t="shared" si="1"/>
        <v>35.892000000000003</v>
      </c>
    </row>
    <row r="15" spans="1:15" x14ac:dyDescent="0.3">
      <c r="A15" s="2" t="s">
        <v>25</v>
      </c>
      <c r="B15" s="3" t="s">
        <v>112</v>
      </c>
      <c r="C15" s="3" t="s">
        <v>279</v>
      </c>
      <c r="D15" s="4">
        <v>45430</v>
      </c>
      <c r="E15" s="4">
        <v>45430</v>
      </c>
      <c r="F15" s="3" t="s">
        <v>272</v>
      </c>
      <c r="G15" s="3" t="s">
        <v>114</v>
      </c>
      <c r="H15" s="2" t="s">
        <v>135</v>
      </c>
      <c r="I15" s="2" t="s">
        <v>234</v>
      </c>
      <c r="J15" s="3" t="s">
        <v>262</v>
      </c>
      <c r="K15" s="5">
        <v>1</v>
      </c>
      <c r="L15" s="6">
        <v>0.06</v>
      </c>
      <c r="M15" s="12">
        <v>15</v>
      </c>
      <c r="N15" s="12">
        <f t="shared" si="0"/>
        <v>15</v>
      </c>
      <c r="O15" s="14">
        <f t="shared" si="1"/>
        <v>14.991</v>
      </c>
    </row>
    <row r="16" spans="1:15" x14ac:dyDescent="0.3">
      <c r="A16" s="2" t="s">
        <v>26</v>
      </c>
      <c r="B16" s="3" t="s">
        <v>113</v>
      </c>
      <c r="C16" s="3" t="s">
        <v>281</v>
      </c>
      <c r="D16" s="4">
        <v>45611</v>
      </c>
      <c r="E16" s="4">
        <v>45617</v>
      </c>
      <c r="F16" s="3" t="s">
        <v>272</v>
      </c>
      <c r="G16" s="3" t="s">
        <v>116</v>
      </c>
      <c r="H16" s="2" t="s">
        <v>136</v>
      </c>
      <c r="I16" s="2" t="s">
        <v>228</v>
      </c>
      <c r="J16" s="3" t="s">
        <v>268</v>
      </c>
      <c r="K16" s="5">
        <v>2</v>
      </c>
      <c r="L16" s="6">
        <v>7.0000000000000007E-2</v>
      </c>
      <c r="M16" s="12">
        <v>12</v>
      </c>
      <c r="N16" s="12">
        <f t="shared" si="0"/>
        <v>24</v>
      </c>
      <c r="O16" s="14">
        <f t="shared" si="1"/>
        <v>23.9832</v>
      </c>
    </row>
    <row r="17" spans="1:15" x14ac:dyDescent="0.3">
      <c r="A17" s="2" t="s">
        <v>27</v>
      </c>
      <c r="B17" s="3" t="s">
        <v>112</v>
      </c>
      <c r="C17" s="3" t="s">
        <v>281</v>
      </c>
      <c r="D17" s="4">
        <v>45641</v>
      </c>
      <c r="E17" s="4">
        <v>45641</v>
      </c>
      <c r="F17" s="3" t="s">
        <v>271</v>
      </c>
      <c r="G17" s="3" t="s">
        <v>116</v>
      </c>
      <c r="H17" s="2" t="s">
        <v>137</v>
      </c>
      <c r="I17" s="2" t="s">
        <v>231</v>
      </c>
      <c r="J17" s="3" t="s">
        <v>267</v>
      </c>
      <c r="K17" s="5">
        <v>1</v>
      </c>
      <c r="L17" s="6">
        <v>0.15</v>
      </c>
      <c r="M17" s="12">
        <v>60</v>
      </c>
      <c r="N17" s="12">
        <f t="shared" si="0"/>
        <v>60</v>
      </c>
      <c r="O17" s="14">
        <f t="shared" si="1"/>
        <v>59.910000000000004</v>
      </c>
    </row>
    <row r="18" spans="1:15" x14ac:dyDescent="0.3">
      <c r="A18" s="2" t="s">
        <v>28</v>
      </c>
      <c r="B18" s="3" t="s">
        <v>113</v>
      </c>
      <c r="C18" s="3" t="s">
        <v>282</v>
      </c>
      <c r="D18" s="4">
        <v>45471</v>
      </c>
      <c r="E18" s="4">
        <v>45478</v>
      </c>
      <c r="F18" s="3" t="s">
        <v>271</v>
      </c>
      <c r="G18" s="3" t="s">
        <v>117</v>
      </c>
      <c r="H18" s="2" t="s">
        <v>138</v>
      </c>
      <c r="I18" s="2" t="s">
        <v>235</v>
      </c>
      <c r="J18" s="3" t="s">
        <v>268</v>
      </c>
      <c r="K18" s="5">
        <v>3</v>
      </c>
      <c r="L18" s="6">
        <v>0.14000000000000001</v>
      </c>
      <c r="M18" s="12">
        <v>12</v>
      </c>
      <c r="N18" s="12">
        <f t="shared" si="0"/>
        <v>36</v>
      </c>
      <c r="O18" s="14">
        <f t="shared" si="1"/>
        <v>35.949600000000004</v>
      </c>
    </row>
    <row r="19" spans="1:15" x14ac:dyDescent="0.3">
      <c r="A19" s="2" t="s">
        <v>29</v>
      </c>
      <c r="B19" s="3" t="s">
        <v>113</v>
      </c>
      <c r="C19" s="3" t="s">
        <v>284</v>
      </c>
      <c r="D19" s="4">
        <v>45479</v>
      </c>
      <c r="E19" s="4">
        <v>45482</v>
      </c>
      <c r="F19" s="3" t="s">
        <v>272</v>
      </c>
      <c r="G19" s="3" t="s">
        <v>119</v>
      </c>
      <c r="H19" s="2" t="s">
        <v>139</v>
      </c>
      <c r="I19" s="2" t="s">
        <v>222</v>
      </c>
      <c r="J19" s="3" t="s">
        <v>267</v>
      </c>
      <c r="K19" s="5">
        <v>1</v>
      </c>
      <c r="L19" s="6">
        <v>0.03</v>
      </c>
      <c r="M19" s="12">
        <v>60</v>
      </c>
      <c r="N19" s="12">
        <f t="shared" si="0"/>
        <v>60</v>
      </c>
      <c r="O19" s="14">
        <f t="shared" si="1"/>
        <v>59.981999999999999</v>
      </c>
    </row>
    <row r="20" spans="1:15" x14ac:dyDescent="0.3">
      <c r="A20" s="2" t="s">
        <v>30</v>
      </c>
      <c r="B20" s="3" t="s">
        <v>113</v>
      </c>
      <c r="C20" s="3" t="s">
        <v>279</v>
      </c>
      <c r="D20" s="4">
        <v>45444</v>
      </c>
      <c r="E20" s="4">
        <v>45451</v>
      </c>
      <c r="F20" s="3" t="s">
        <v>273</v>
      </c>
      <c r="G20" s="3" t="s">
        <v>114</v>
      </c>
      <c r="H20" s="2" t="s">
        <v>140</v>
      </c>
      <c r="I20" s="2" t="s">
        <v>232</v>
      </c>
      <c r="J20" s="3" t="s">
        <v>265</v>
      </c>
      <c r="K20" s="5">
        <v>4</v>
      </c>
      <c r="L20" s="6">
        <v>7.0000000000000007E-2</v>
      </c>
      <c r="M20" s="12">
        <v>8</v>
      </c>
      <c r="N20" s="12">
        <f t="shared" si="0"/>
        <v>32</v>
      </c>
      <c r="O20" s="14">
        <f t="shared" si="1"/>
        <v>31.977599999999999</v>
      </c>
    </row>
    <row r="21" spans="1:15" x14ac:dyDescent="0.3">
      <c r="A21" s="2" t="s">
        <v>31</v>
      </c>
      <c r="B21" s="3" t="s">
        <v>112</v>
      </c>
      <c r="C21" s="3" t="s">
        <v>282</v>
      </c>
      <c r="D21" s="4">
        <v>45360</v>
      </c>
      <c r="E21" s="4">
        <v>45360</v>
      </c>
      <c r="F21" s="3" t="s">
        <v>274</v>
      </c>
      <c r="G21" s="3" t="s">
        <v>117</v>
      </c>
      <c r="H21" s="2" t="s">
        <v>141</v>
      </c>
      <c r="I21" s="2" t="s">
        <v>228</v>
      </c>
      <c r="J21" s="3" t="s">
        <v>263</v>
      </c>
      <c r="K21" s="5">
        <v>2</v>
      </c>
      <c r="L21" s="6">
        <v>0.3</v>
      </c>
      <c r="M21" s="12">
        <v>80</v>
      </c>
      <c r="N21" s="12">
        <f t="shared" si="0"/>
        <v>160</v>
      </c>
      <c r="O21" s="14">
        <f t="shared" si="1"/>
        <v>159.52000000000001</v>
      </c>
    </row>
    <row r="22" spans="1:15" x14ac:dyDescent="0.3">
      <c r="A22" s="2" t="s">
        <v>32</v>
      </c>
      <c r="B22" s="3" t="s">
        <v>113</v>
      </c>
      <c r="C22" s="3" t="s">
        <v>284</v>
      </c>
      <c r="D22" s="4">
        <v>45359</v>
      </c>
      <c r="E22" s="4">
        <v>45366</v>
      </c>
      <c r="F22" s="3" t="s">
        <v>271</v>
      </c>
      <c r="G22" s="3" t="s">
        <v>119</v>
      </c>
      <c r="H22" s="2" t="s">
        <v>142</v>
      </c>
      <c r="I22" s="2" t="s">
        <v>236</v>
      </c>
      <c r="J22" s="3" t="s">
        <v>266</v>
      </c>
      <c r="K22" s="5">
        <v>3</v>
      </c>
      <c r="L22" s="6">
        <v>0.17</v>
      </c>
      <c r="M22" s="12">
        <v>10</v>
      </c>
      <c r="N22" s="12">
        <f t="shared" si="0"/>
        <v>30</v>
      </c>
      <c r="O22" s="14">
        <f t="shared" si="1"/>
        <v>29.948999999999998</v>
      </c>
    </row>
    <row r="23" spans="1:15" x14ac:dyDescent="0.3">
      <c r="A23" s="2" t="s">
        <v>33</v>
      </c>
      <c r="B23" s="3" t="s">
        <v>112</v>
      </c>
      <c r="C23" s="3" t="s">
        <v>284</v>
      </c>
      <c r="D23" s="4">
        <v>45420</v>
      </c>
      <c r="E23" s="4">
        <v>45420</v>
      </c>
      <c r="F23" s="3" t="s">
        <v>272</v>
      </c>
      <c r="G23" s="3" t="s">
        <v>119</v>
      </c>
      <c r="H23" s="2" t="s">
        <v>143</v>
      </c>
      <c r="I23" s="2" t="s">
        <v>226</v>
      </c>
      <c r="J23" s="3" t="s">
        <v>265</v>
      </c>
      <c r="K23" s="5">
        <v>5</v>
      </c>
      <c r="L23" s="6">
        <v>0.26</v>
      </c>
      <c r="M23" s="12">
        <v>8</v>
      </c>
      <c r="N23" s="12">
        <f t="shared" si="0"/>
        <v>40</v>
      </c>
      <c r="O23" s="14">
        <f t="shared" si="1"/>
        <v>39.896000000000001</v>
      </c>
    </row>
    <row r="24" spans="1:15" x14ac:dyDescent="0.3">
      <c r="A24" s="2" t="s">
        <v>34</v>
      </c>
      <c r="B24" s="3" t="s">
        <v>112</v>
      </c>
      <c r="C24" s="3" t="s">
        <v>278</v>
      </c>
      <c r="D24" s="4">
        <v>45551</v>
      </c>
      <c r="E24" s="4">
        <v>45551</v>
      </c>
      <c r="F24" s="3" t="s">
        <v>273</v>
      </c>
      <c r="G24" s="3" t="s">
        <v>121</v>
      </c>
      <c r="H24" s="2" t="s">
        <v>144</v>
      </c>
      <c r="I24" s="2" t="s">
        <v>232</v>
      </c>
      <c r="J24" s="3" t="s">
        <v>269</v>
      </c>
      <c r="K24" s="5">
        <v>3</v>
      </c>
      <c r="L24" s="6">
        <v>0.14000000000000001</v>
      </c>
      <c r="M24" s="12">
        <v>40</v>
      </c>
      <c r="N24" s="12">
        <f t="shared" si="0"/>
        <v>120</v>
      </c>
      <c r="O24" s="14">
        <f t="shared" si="1"/>
        <v>119.83200000000001</v>
      </c>
    </row>
    <row r="25" spans="1:15" x14ac:dyDescent="0.3">
      <c r="A25" s="2" t="s">
        <v>35</v>
      </c>
      <c r="B25" s="3" t="s">
        <v>112</v>
      </c>
      <c r="C25" s="3" t="s">
        <v>283</v>
      </c>
      <c r="D25" s="4">
        <v>45622</v>
      </c>
      <c r="E25" s="4">
        <v>45622</v>
      </c>
      <c r="F25" s="3" t="s">
        <v>273</v>
      </c>
      <c r="G25" s="3" t="s">
        <v>118</v>
      </c>
      <c r="H25" s="2" t="s">
        <v>145</v>
      </c>
      <c r="I25" s="2" t="s">
        <v>227</v>
      </c>
      <c r="J25" s="3" t="s">
        <v>262</v>
      </c>
      <c r="K25" s="5">
        <v>4</v>
      </c>
      <c r="L25" s="6">
        <v>0.3</v>
      </c>
      <c r="M25" s="12">
        <v>15</v>
      </c>
      <c r="N25" s="12">
        <f t="shared" si="0"/>
        <v>60</v>
      </c>
      <c r="O25" s="14">
        <f t="shared" si="1"/>
        <v>59.82</v>
      </c>
    </row>
    <row r="26" spans="1:15" x14ac:dyDescent="0.3">
      <c r="A26" s="2" t="s">
        <v>36</v>
      </c>
      <c r="B26" s="3" t="s">
        <v>113</v>
      </c>
      <c r="C26" s="3" t="s">
        <v>278</v>
      </c>
      <c r="D26" s="4">
        <v>45599</v>
      </c>
      <c r="E26" s="4">
        <v>45600</v>
      </c>
      <c r="F26" s="3" t="s">
        <v>273</v>
      </c>
      <c r="G26" s="3" t="s">
        <v>121</v>
      </c>
      <c r="H26" s="2" t="s">
        <v>146</v>
      </c>
      <c r="I26" s="2" t="s">
        <v>231</v>
      </c>
      <c r="J26" s="3" t="s">
        <v>262</v>
      </c>
      <c r="K26" s="5">
        <v>5</v>
      </c>
      <c r="L26" s="6">
        <v>0.09</v>
      </c>
      <c r="M26" s="12">
        <v>15</v>
      </c>
      <c r="N26" s="12">
        <f t="shared" si="0"/>
        <v>75</v>
      </c>
      <c r="O26" s="14">
        <f t="shared" si="1"/>
        <v>74.932500000000005</v>
      </c>
    </row>
    <row r="27" spans="1:15" x14ac:dyDescent="0.3">
      <c r="A27" s="2" t="s">
        <v>37</v>
      </c>
      <c r="B27" s="3" t="s">
        <v>113</v>
      </c>
      <c r="C27" s="3" t="s">
        <v>285</v>
      </c>
      <c r="D27" s="4">
        <v>45471</v>
      </c>
      <c r="E27" s="4">
        <v>45473</v>
      </c>
      <c r="F27" s="3" t="s">
        <v>272</v>
      </c>
      <c r="G27" s="3" t="s">
        <v>120</v>
      </c>
      <c r="H27" s="2" t="s">
        <v>147</v>
      </c>
      <c r="I27" s="2" t="s">
        <v>237</v>
      </c>
      <c r="J27" s="3" t="s">
        <v>263</v>
      </c>
      <c r="K27" s="5">
        <v>4</v>
      </c>
      <c r="L27" s="6">
        <v>0.17</v>
      </c>
      <c r="M27" s="12">
        <v>80</v>
      </c>
      <c r="N27" s="12">
        <f t="shared" si="0"/>
        <v>320</v>
      </c>
      <c r="O27" s="14">
        <f t="shared" si="1"/>
        <v>319.45600000000002</v>
      </c>
    </row>
    <row r="28" spans="1:15" x14ac:dyDescent="0.3">
      <c r="A28" s="2" t="s">
        <v>38</v>
      </c>
      <c r="B28" s="3" t="s">
        <v>112</v>
      </c>
      <c r="C28" s="3" t="s">
        <v>282</v>
      </c>
      <c r="D28" s="4">
        <v>45597</v>
      </c>
      <c r="E28" s="4">
        <v>45597</v>
      </c>
      <c r="F28" s="3" t="s">
        <v>271</v>
      </c>
      <c r="G28" s="3" t="s">
        <v>117</v>
      </c>
      <c r="H28" s="2" t="s">
        <v>148</v>
      </c>
      <c r="I28" s="2" t="s">
        <v>232</v>
      </c>
      <c r="J28" s="3" t="s">
        <v>262</v>
      </c>
      <c r="K28" s="5">
        <v>4</v>
      </c>
      <c r="L28" s="6">
        <v>0.28000000000000003</v>
      </c>
      <c r="M28" s="12">
        <v>15</v>
      </c>
      <c r="N28" s="12">
        <f t="shared" si="0"/>
        <v>60</v>
      </c>
      <c r="O28" s="14">
        <f t="shared" si="1"/>
        <v>59.832000000000001</v>
      </c>
    </row>
    <row r="29" spans="1:15" x14ac:dyDescent="0.3">
      <c r="A29" s="2" t="s">
        <v>39</v>
      </c>
      <c r="B29" s="3" t="s">
        <v>113</v>
      </c>
      <c r="C29" s="3" t="s">
        <v>285</v>
      </c>
      <c r="D29" s="4">
        <v>45414</v>
      </c>
      <c r="E29" s="4">
        <v>45417</v>
      </c>
      <c r="F29" s="3" t="s">
        <v>271</v>
      </c>
      <c r="G29" s="3" t="s">
        <v>120</v>
      </c>
      <c r="H29" s="2" t="s">
        <v>149</v>
      </c>
      <c r="I29" s="2" t="s">
        <v>238</v>
      </c>
      <c r="J29" s="3" t="s">
        <v>267</v>
      </c>
      <c r="K29" s="5">
        <v>4</v>
      </c>
      <c r="L29" s="6">
        <v>7.0000000000000007E-2</v>
      </c>
      <c r="M29" s="12">
        <v>60</v>
      </c>
      <c r="N29" s="12">
        <f t="shared" si="0"/>
        <v>240</v>
      </c>
      <c r="O29" s="14">
        <f t="shared" si="1"/>
        <v>239.83199999999999</v>
      </c>
    </row>
    <row r="30" spans="1:15" x14ac:dyDescent="0.3">
      <c r="A30" s="2" t="s">
        <v>40</v>
      </c>
      <c r="B30" s="3" t="s">
        <v>112</v>
      </c>
      <c r="C30" s="3" t="s">
        <v>281</v>
      </c>
      <c r="D30" s="4">
        <v>45341</v>
      </c>
      <c r="E30" s="4">
        <v>45341</v>
      </c>
      <c r="F30" s="3" t="s">
        <v>273</v>
      </c>
      <c r="G30" s="3" t="s">
        <v>116</v>
      </c>
      <c r="H30" s="2" t="s">
        <v>150</v>
      </c>
      <c r="I30" s="2" t="s">
        <v>229</v>
      </c>
      <c r="J30" s="3" t="s">
        <v>265</v>
      </c>
      <c r="K30" s="5">
        <v>5</v>
      </c>
      <c r="L30" s="6">
        <v>0.25</v>
      </c>
      <c r="M30" s="12">
        <v>8</v>
      </c>
      <c r="N30" s="12">
        <f t="shared" si="0"/>
        <v>40</v>
      </c>
      <c r="O30" s="14">
        <f t="shared" si="1"/>
        <v>39.900000000000006</v>
      </c>
    </row>
    <row r="31" spans="1:15" x14ac:dyDescent="0.3">
      <c r="A31" s="2" t="s">
        <v>41</v>
      </c>
      <c r="B31" s="3" t="s">
        <v>112</v>
      </c>
      <c r="C31" s="3" t="s">
        <v>282</v>
      </c>
      <c r="D31" s="4">
        <v>45436</v>
      </c>
      <c r="E31" s="4">
        <v>45436</v>
      </c>
      <c r="F31" s="3" t="s">
        <v>272</v>
      </c>
      <c r="G31" s="3" t="s">
        <v>117</v>
      </c>
      <c r="H31" s="2" t="s">
        <v>151</v>
      </c>
      <c r="I31" s="2" t="s">
        <v>226</v>
      </c>
      <c r="J31" s="3" t="s">
        <v>268</v>
      </c>
      <c r="K31" s="5">
        <v>5</v>
      </c>
      <c r="L31" s="6">
        <v>0.02</v>
      </c>
      <c r="M31" s="12">
        <v>12</v>
      </c>
      <c r="N31" s="12">
        <f t="shared" si="0"/>
        <v>60</v>
      </c>
      <c r="O31" s="14">
        <f t="shared" si="1"/>
        <v>59.988</v>
      </c>
    </row>
    <row r="32" spans="1:15" x14ac:dyDescent="0.3">
      <c r="A32" s="2" t="s">
        <v>42</v>
      </c>
      <c r="B32" s="3" t="s">
        <v>113</v>
      </c>
      <c r="C32" s="3" t="s">
        <v>280</v>
      </c>
      <c r="D32" s="4">
        <v>45410</v>
      </c>
      <c r="E32" s="4">
        <v>45415</v>
      </c>
      <c r="F32" s="3" t="s">
        <v>272</v>
      </c>
      <c r="G32" s="3" t="s">
        <v>115</v>
      </c>
      <c r="H32" s="2" t="s">
        <v>152</v>
      </c>
      <c r="I32" s="2" t="s">
        <v>239</v>
      </c>
      <c r="J32" s="3" t="s">
        <v>262</v>
      </c>
      <c r="K32" s="5">
        <v>2</v>
      </c>
      <c r="L32" s="6">
        <v>0.28999999999999998</v>
      </c>
      <c r="M32" s="12">
        <v>15</v>
      </c>
      <c r="N32" s="12">
        <f t="shared" si="0"/>
        <v>30</v>
      </c>
      <c r="O32" s="14">
        <f t="shared" si="1"/>
        <v>29.913</v>
      </c>
    </row>
    <row r="33" spans="1:15" x14ac:dyDescent="0.3">
      <c r="A33" s="2" t="s">
        <v>43</v>
      </c>
      <c r="B33" s="3" t="s">
        <v>112</v>
      </c>
      <c r="C33" s="3" t="s">
        <v>284</v>
      </c>
      <c r="D33" s="4">
        <v>45655</v>
      </c>
      <c r="E33" s="4">
        <v>45655</v>
      </c>
      <c r="F33" s="3" t="s">
        <v>272</v>
      </c>
      <c r="G33" s="3" t="s">
        <v>119</v>
      </c>
      <c r="H33" s="2" t="s">
        <v>153</v>
      </c>
      <c r="I33" s="2" t="s">
        <v>236</v>
      </c>
      <c r="J33" s="3" t="s">
        <v>268</v>
      </c>
      <c r="K33" s="5">
        <v>2</v>
      </c>
      <c r="L33" s="6">
        <v>0.03</v>
      </c>
      <c r="M33" s="12">
        <v>12</v>
      </c>
      <c r="N33" s="12">
        <f t="shared" si="0"/>
        <v>24</v>
      </c>
      <c r="O33" s="14">
        <f t="shared" si="1"/>
        <v>23.992800000000003</v>
      </c>
    </row>
    <row r="34" spans="1:15" x14ac:dyDescent="0.3">
      <c r="A34" s="2" t="s">
        <v>44</v>
      </c>
      <c r="B34" s="3" t="s">
        <v>112</v>
      </c>
      <c r="C34" s="3" t="s">
        <v>278</v>
      </c>
      <c r="D34" s="4">
        <v>45575</v>
      </c>
      <c r="E34" s="4">
        <v>45575</v>
      </c>
      <c r="F34" s="3" t="s">
        <v>274</v>
      </c>
      <c r="G34" s="3" t="s">
        <v>121</v>
      </c>
      <c r="H34" s="2" t="s">
        <v>154</v>
      </c>
      <c r="I34" s="2" t="s">
        <v>233</v>
      </c>
      <c r="J34" s="3" t="s">
        <v>263</v>
      </c>
      <c r="K34" s="5">
        <v>1</v>
      </c>
      <c r="L34" s="6">
        <v>0.28999999999999998</v>
      </c>
      <c r="M34" s="12">
        <v>80</v>
      </c>
      <c r="N34" s="12">
        <f t="shared" si="0"/>
        <v>80</v>
      </c>
      <c r="O34" s="14">
        <f t="shared" ref="O34:O65" si="2">N34*(1-L34/100)</f>
        <v>79.768000000000001</v>
      </c>
    </row>
    <row r="35" spans="1:15" x14ac:dyDescent="0.3">
      <c r="A35" s="2" t="s">
        <v>45</v>
      </c>
      <c r="B35" s="3" t="s">
        <v>112</v>
      </c>
      <c r="C35" s="3" t="s">
        <v>280</v>
      </c>
      <c r="D35" s="4">
        <v>45318</v>
      </c>
      <c r="E35" s="4">
        <v>45318</v>
      </c>
      <c r="F35" s="3" t="s">
        <v>273</v>
      </c>
      <c r="G35" s="3" t="s">
        <v>115</v>
      </c>
      <c r="H35" s="2" t="s">
        <v>155</v>
      </c>
      <c r="I35" s="2" t="s">
        <v>238</v>
      </c>
      <c r="J35" s="3" t="s">
        <v>265</v>
      </c>
      <c r="K35" s="5">
        <v>4</v>
      </c>
      <c r="L35" s="6">
        <v>7.0000000000000007E-2</v>
      </c>
      <c r="M35" s="12">
        <v>8</v>
      </c>
      <c r="N35" s="12">
        <f t="shared" si="0"/>
        <v>32</v>
      </c>
      <c r="O35" s="14">
        <f t="shared" si="2"/>
        <v>31.977599999999999</v>
      </c>
    </row>
    <row r="36" spans="1:15" x14ac:dyDescent="0.3">
      <c r="A36" s="2" t="s">
        <v>46</v>
      </c>
      <c r="B36" s="3" t="s">
        <v>113</v>
      </c>
      <c r="C36" s="3" t="s">
        <v>284</v>
      </c>
      <c r="D36" s="4">
        <v>45472</v>
      </c>
      <c r="E36" s="4">
        <v>45479</v>
      </c>
      <c r="F36" s="3" t="s">
        <v>273</v>
      </c>
      <c r="G36" s="3" t="s">
        <v>119</v>
      </c>
      <c r="H36" s="2" t="s">
        <v>156</v>
      </c>
      <c r="I36" s="2" t="s">
        <v>235</v>
      </c>
      <c r="J36" s="3" t="s">
        <v>267</v>
      </c>
      <c r="K36" s="5">
        <v>3</v>
      </c>
      <c r="L36" s="6">
        <v>0.18</v>
      </c>
      <c r="M36" s="12">
        <v>60</v>
      </c>
      <c r="N36" s="12">
        <f t="shared" si="0"/>
        <v>180</v>
      </c>
      <c r="O36" s="14">
        <f t="shared" si="2"/>
        <v>179.67599999999999</v>
      </c>
    </row>
    <row r="37" spans="1:15" x14ac:dyDescent="0.3">
      <c r="A37" s="2" t="s">
        <v>47</v>
      </c>
      <c r="B37" s="3" t="s">
        <v>112</v>
      </c>
      <c r="C37" s="3" t="s">
        <v>278</v>
      </c>
      <c r="D37" s="4">
        <v>45504</v>
      </c>
      <c r="E37" s="4">
        <v>45504</v>
      </c>
      <c r="F37" s="3" t="s">
        <v>272</v>
      </c>
      <c r="G37" s="3" t="s">
        <v>121</v>
      </c>
      <c r="H37" s="2" t="s">
        <v>157</v>
      </c>
      <c r="I37" s="2" t="s">
        <v>240</v>
      </c>
      <c r="J37" s="3" t="s">
        <v>269</v>
      </c>
      <c r="K37" s="5">
        <v>2</v>
      </c>
      <c r="L37" s="6">
        <v>0.06</v>
      </c>
      <c r="M37" s="12">
        <v>40</v>
      </c>
      <c r="N37" s="12">
        <f t="shared" si="0"/>
        <v>80</v>
      </c>
      <c r="O37" s="14">
        <f t="shared" si="2"/>
        <v>79.951999999999998</v>
      </c>
    </row>
    <row r="38" spans="1:15" x14ac:dyDescent="0.3">
      <c r="A38" s="2" t="s">
        <v>48</v>
      </c>
      <c r="B38" s="3" t="s">
        <v>113</v>
      </c>
      <c r="C38" s="3" t="s">
        <v>279</v>
      </c>
      <c r="D38" s="4">
        <v>45404</v>
      </c>
      <c r="E38" s="4">
        <v>45410</v>
      </c>
      <c r="F38" s="3" t="s">
        <v>273</v>
      </c>
      <c r="G38" s="3" t="s">
        <v>114</v>
      </c>
      <c r="H38" s="2" t="s">
        <v>158</v>
      </c>
      <c r="I38" s="2" t="s">
        <v>241</v>
      </c>
      <c r="J38" s="3" t="s">
        <v>262</v>
      </c>
      <c r="K38" s="5">
        <v>2</v>
      </c>
      <c r="L38" s="6">
        <v>0.11</v>
      </c>
      <c r="M38" s="12">
        <v>15</v>
      </c>
      <c r="N38" s="12">
        <f t="shared" si="0"/>
        <v>30</v>
      </c>
      <c r="O38" s="14">
        <f t="shared" si="2"/>
        <v>29.966999999999999</v>
      </c>
    </row>
    <row r="39" spans="1:15" x14ac:dyDescent="0.3">
      <c r="A39" s="2" t="s">
        <v>49</v>
      </c>
      <c r="B39" s="3" t="s">
        <v>112</v>
      </c>
      <c r="C39" s="3" t="s">
        <v>282</v>
      </c>
      <c r="D39" s="4">
        <v>45526</v>
      </c>
      <c r="E39" s="4">
        <v>45526</v>
      </c>
      <c r="F39" s="3" t="s">
        <v>273</v>
      </c>
      <c r="G39" s="3" t="s">
        <v>117</v>
      </c>
      <c r="H39" s="2" t="s">
        <v>159</v>
      </c>
      <c r="I39" s="2" t="s">
        <v>226</v>
      </c>
      <c r="J39" s="3" t="s">
        <v>262</v>
      </c>
      <c r="K39" s="5">
        <v>3</v>
      </c>
      <c r="L39" s="6">
        <v>0.09</v>
      </c>
      <c r="M39" s="12">
        <v>15</v>
      </c>
      <c r="N39" s="12">
        <f t="shared" si="0"/>
        <v>45</v>
      </c>
      <c r="O39" s="14">
        <f t="shared" si="2"/>
        <v>44.959499999999998</v>
      </c>
    </row>
    <row r="40" spans="1:15" x14ac:dyDescent="0.3">
      <c r="A40" s="2" t="s">
        <v>50</v>
      </c>
      <c r="B40" s="3" t="s">
        <v>112</v>
      </c>
      <c r="C40" s="3" t="s">
        <v>284</v>
      </c>
      <c r="D40" s="4">
        <v>45321</v>
      </c>
      <c r="E40" s="4">
        <v>45321</v>
      </c>
      <c r="F40" s="3" t="s">
        <v>272</v>
      </c>
      <c r="G40" s="3" t="s">
        <v>119</v>
      </c>
      <c r="H40" s="2" t="s">
        <v>160</v>
      </c>
      <c r="I40" s="2" t="s">
        <v>242</v>
      </c>
      <c r="J40" s="3" t="s">
        <v>267</v>
      </c>
      <c r="K40" s="5">
        <v>1</v>
      </c>
      <c r="L40" s="6">
        <v>0.15</v>
      </c>
      <c r="M40" s="12">
        <v>60</v>
      </c>
      <c r="N40" s="12">
        <f t="shared" si="0"/>
        <v>60</v>
      </c>
      <c r="O40" s="14">
        <f t="shared" si="2"/>
        <v>59.910000000000004</v>
      </c>
    </row>
    <row r="41" spans="1:15" x14ac:dyDescent="0.3">
      <c r="A41" s="2" t="s">
        <v>51</v>
      </c>
      <c r="B41" s="3" t="s">
        <v>112</v>
      </c>
      <c r="C41" s="3" t="s">
        <v>279</v>
      </c>
      <c r="D41" s="4">
        <v>45432</v>
      </c>
      <c r="E41" s="4">
        <v>45432</v>
      </c>
      <c r="F41" s="3" t="s">
        <v>273</v>
      </c>
      <c r="G41" s="3" t="s">
        <v>114</v>
      </c>
      <c r="H41" s="2" t="s">
        <v>161</v>
      </c>
      <c r="I41" s="2" t="s">
        <v>234</v>
      </c>
      <c r="J41" s="3" t="s">
        <v>264</v>
      </c>
      <c r="K41" s="5">
        <v>4</v>
      </c>
      <c r="L41" s="6">
        <v>0.05</v>
      </c>
      <c r="M41" s="12">
        <v>25</v>
      </c>
      <c r="N41" s="12">
        <f t="shared" si="0"/>
        <v>100</v>
      </c>
      <c r="O41" s="14">
        <f t="shared" si="2"/>
        <v>99.95</v>
      </c>
    </row>
    <row r="42" spans="1:15" x14ac:dyDescent="0.3">
      <c r="A42" s="2" t="s">
        <v>52</v>
      </c>
      <c r="B42" s="3" t="s">
        <v>113</v>
      </c>
      <c r="C42" s="3" t="s">
        <v>283</v>
      </c>
      <c r="D42" s="4">
        <v>45394</v>
      </c>
      <c r="E42" s="4">
        <v>45400</v>
      </c>
      <c r="F42" s="3" t="s">
        <v>274</v>
      </c>
      <c r="G42" s="3" t="s">
        <v>118</v>
      </c>
      <c r="H42" s="2" t="s">
        <v>162</v>
      </c>
      <c r="I42" s="2" t="s">
        <v>243</v>
      </c>
      <c r="J42" s="3" t="s">
        <v>262</v>
      </c>
      <c r="K42" s="5">
        <v>3</v>
      </c>
      <c r="L42" s="6">
        <v>0.13</v>
      </c>
      <c r="M42" s="12">
        <v>15</v>
      </c>
      <c r="N42" s="12">
        <f t="shared" si="0"/>
        <v>45</v>
      </c>
      <c r="O42" s="14">
        <f t="shared" si="2"/>
        <v>44.941500000000005</v>
      </c>
    </row>
    <row r="43" spans="1:15" x14ac:dyDescent="0.3">
      <c r="A43" s="2" t="s">
        <v>53</v>
      </c>
      <c r="B43" s="3" t="s">
        <v>113</v>
      </c>
      <c r="C43" s="3" t="s">
        <v>283</v>
      </c>
      <c r="D43" s="4">
        <v>45608</v>
      </c>
      <c r="E43" s="4">
        <v>45614</v>
      </c>
      <c r="F43" s="3" t="s">
        <v>274</v>
      </c>
      <c r="G43" s="3" t="s">
        <v>118</v>
      </c>
      <c r="H43" s="2" t="s">
        <v>163</v>
      </c>
      <c r="I43" s="2" t="s">
        <v>235</v>
      </c>
      <c r="J43" s="3" t="s">
        <v>262</v>
      </c>
      <c r="K43" s="5">
        <v>4</v>
      </c>
      <c r="L43" s="6">
        <v>0.02</v>
      </c>
      <c r="M43" s="12">
        <v>15</v>
      </c>
      <c r="N43" s="12">
        <f t="shared" si="0"/>
        <v>60</v>
      </c>
      <c r="O43" s="14">
        <f t="shared" si="2"/>
        <v>59.988</v>
      </c>
    </row>
    <row r="44" spans="1:15" x14ac:dyDescent="0.3">
      <c r="A44" s="2" t="s">
        <v>54</v>
      </c>
      <c r="B44" s="3" t="s">
        <v>113</v>
      </c>
      <c r="C44" s="3" t="s">
        <v>285</v>
      </c>
      <c r="D44" s="4">
        <v>45324</v>
      </c>
      <c r="E44" s="4">
        <v>45329</v>
      </c>
      <c r="F44" s="3" t="s">
        <v>272</v>
      </c>
      <c r="G44" s="3" t="s">
        <v>120</v>
      </c>
      <c r="H44" s="2" t="s">
        <v>164</v>
      </c>
      <c r="I44" s="2" t="s">
        <v>230</v>
      </c>
      <c r="J44" s="3" t="s">
        <v>264</v>
      </c>
      <c r="K44" s="5">
        <v>2</v>
      </c>
      <c r="L44" s="6">
        <v>0.09</v>
      </c>
      <c r="M44" s="12">
        <v>25</v>
      </c>
      <c r="N44" s="12">
        <f t="shared" si="0"/>
        <v>50</v>
      </c>
      <c r="O44" s="14">
        <f t="shared" si="2"/>
        <v>49.954999999999998</v>
      </c>
    </row>
    <row r="45" spans="1:15" x14ac:dyDescent="0.3">
      <c r="A45" s="2" t="s">
        <v>55</v>
      </c>
      <c r="B45" s="3" t="s">
        <v>113</v>
      </c>
      <c r="C45" s="3" t="s">
        <v>281</v>
      </c>
      <c r="D45" s="4">
        <v>45333</v>
      </c>
      <c r="E45" s="4">
        <v>45335</v>
      </c>
      <c r="F45" s="3" t="s">
        <v>273</v>
      </c>
      <c r="G45" s="3" t="s">
        <v>116</v>
      </c>
      <c r="H45" s="2" t="s">
        <v>165</v>
      </c>
      <c r="I45" s="2" t="s">
        <v>233</v>
      </c>
      <c r="J45" s="3" t="s">
        <v>268</v>
      </c>
      <c r="K45" s="5">
        <v>5</v>
      </c>
      <c r="L45" s="6">
        <v>0.28999999999999998</v>
      </c>
      <c r="M45" s="12">
        <v>12</v>
      </c>
      <c r="N45" s="12">
        <f t="shared" si="0"/>
        <v>60</v>
      </c>
      <c r="O45" s="14">
        <f t="shared" si="2"/>
        <v>59.826000000000001</v>
      </c>
    </row>
    <row r="46" spans="1:15" x14ac:dyDescent="0.3">
      <c r="A46" s="2" t="s">
        <v>56</v>
      </c>
      <c r="B46" s="3" t="s">
        <v>112</v>
      </c>
      <c r="C46" s="3" t="s">
        <v>281</v>
      </c>
      <c r="D46" s="4">
        <v>45399</v>
      </c>
      <c r="E46" s="4">
        <v>45399</v>
      </c>
      <c r="F46" s="3" t="s">
        <v>274</v>
      </c>
      <c r="G46" s="3" t="s">
        <v>116</v>
      </c>
      <c r="H46" s="2" t="s">
        <v>166</v>
      </c>
      <c r="I46" s="2" t="s">
        <v>241</v>
      </c>
      <c r="J46" s="3" t="s">
        <v>267</v>
      </c>
      <c r="K46" s="5">
        <v>2</v>
      </c>
      <c r="L46" s="6">
        <v>0.16</v>
      </c>
      <c r="M46" s="12">
        <v>60</v>
      </c>
      <c r="N46" s="12">
        <f t="shared" si="0"/>
        <v>120</v>
      </c>
      <c r="O46" s="14">
        <f t="shared" si="2"/>
        <v>119.80799999999999</v>
      </c>
    </row>
    <row r="47" spans="1:15" x14ac:dyDescent="0.3">
      <c r="A47" s="2" t="s">
        <v>57</v>
      </c>
      <c r="B47" s="3" t="s">
        <v>113</v>
      </c>
      <c r="C47" s="3" t="s">
        <v>281</v>
      </c>
      <c r="D47" s="4">
        <v>45608</v>
      </c>
      <c r="E47" s="4">
        <v>45610</v>
      </c>
      <c r="F47" s="3" t="s">
        <v>273</v>
      </c>
      <c r="G47" s="3" t="s">
        <v>116</v>
      </c>
      <c r="H47" s="2" t="s">
        <v>167</v>
      </c>
      <c r="I47" s="2" t="s">
        <v>244</v>
      </c>
      <c r="J47" s="3" t="s">
        <v>268</v>
      </c>
      <c r="K47" s="5">
        <v>2</v>
      </c>
      <c r="L47" s="6">
        <v>0.22</v>
      </c>
      <c r="M47" s="12">
        <v>12</v>
      </c>
      <c r="N47" s="12">
        <f t="shared" si="0"/>
        <v>24</v>
      </c>
      <c r="O47" s="14">
        <f t="shared" si="2"/>
        <v>23.947200000000002</v>
      </c>
    </row>
    <row r="48" spans="1:15" x14ac:dyDescent="0.3">
      <c r="A48" s="2" t="s">
        <v>58</v>
      </c>
      <c r="B48" s="3" t="s">
        <v>113</v>
      </c>
      <c r="C48" s="3" t="s">
        <v>278</v>
      </c>
      <c r="D48" s="4">
        <v>45405</v>
      </c>
      <c r="E48" s="4">
        <v>45407</v>
      </c>
      <c r="F48" s="3" t="s">
        <v>273</v>
      </c>
      <c r="G48" s="3" t="s">
        <v>121</v>
      </c>
      <c r="H48" s="2" t="s">
        <v>168</v>
      </c>
      <c r="I48" s="2" t="s">
        <v>222</v>
      </c>
      <c r="J48" s="3" t="s">
        <v>265</v>
      </c>
      <c r="K48" s="5">
        <v>2</v>
      </c>
      <c r="L48" s="6">
        <v>0.12</v>
      </c>
      <c r="M48" s="12">
        <v>8</v>
      </c>
      <c r="N48" s="12">
        <f t="shared" si="0"/>
        <v>16</v>
      </c>
      <c r="O48" s="14">
        <f t="shared" si="2"/>
        <v>15.9808</v>
      </c>
    </row>
    <row r="49" spans="1:15" x14ac:dyDescent="0.3">
      <c r="A49" s="2" t="s">
        <v>59</v>
      </c>
      <c r="B49" s="3" t="s">
        <v>112</v>
      </c>
      <c r="C49" s="3" t="s">
        <v>283</v>
      </c>
      <c r="D49" s="4">
        <v>45310</v>
      </c>
      <c r="E49" s="4">
        <v>45310</v>
      </c>
      <c r="F49" s="3" t="s">
        <v>271</v>
      </c>
      <c r="G49" s="3" t="s">
        <v>118</v>
      </c>
      <c r="H49" s="2" t="s">
        <v>169</v>
      </c>
      <c r="I49" s="2" t="s">
        <v>238</v>
      </c>
      <c r="J49" s="3" t="s">
        <v>262</v>
      </c>
      <c r="K49" s="5">
        <v>5</v>
      </c>
      <c r="L49" s="6">
        <v>0.13</v>
      </c>
      <c r="M49" s="12">
        <v>15</v>
      </c>
      <c r="N49" s="12">
        <f t="shared" si="0"/>
        <v>75</v>
      </c>
      <c r="O49" s="14">
        <f t="shared" si="2"/>
        <v>74.902500000000003</v>
      </c>
    </row>
    <row r="50" spans="1:15" x14ac:dyDescent="0.3">
      <c r="A50" s="2" t="s">
        <v>60</v>
      </c>
      <c r="B50" s="3" t="s">
        <v>112</v>
      </c>
      <c r="C50" s="3" t="s">
        <v>278</v>
      </c>
      <c r="D50" s="4">
        <v>45512</v>
      </c>
      <c r="E50" s="4">
        <v>45512</v>
      </c>
      <c r="F50" s="3" t="s">
        <v>274</v>
      </c>
      <c r="G50" s="3" t="s">
        <v>121</v>
      </c>
      <c r="H50" s="2" t="s">
        <v>170</v>
      </c>
      <c r="I50" s="2" t="s">
        <v>235</v>
      </c>
      <c r="J50" s="3" t="s">
        <v>269</v>
      </c>
      <c r="K50" s="5">
        <v>3</v>
      </c>
      <c r="L50" s="6">
        <v>0.04</v>
      </c>
      <c r="M50" s="12">
        <v>40</v>
      </c>
      <c r="N50" s="12">
        <f t="shared" si="0"/>
        <v>120</v>
      </c>
      <c r="O50" s="14">
        <f t="shared" si="2"/>
        <v>119.952</v>
      </c>
    </row>
    <row r="51" spans="1:15" x14ac:dyDescent="0.3">
      <c r="A51" s="2" t="s">
        <v>61</v>
      </c>
      <c r="B51" s="3" t="s">
        <v>113</v>
      </c>
      <c r="C51" s="3" t="s">
        <v>279</v>
      </c>
      <c r="D51" s="4">
        <v>45378</v>
      </c>
      <c r="E51" s="4">
        <v>45382</v>
      </c>
      <c r="F51" s="3" t="s">
        <v>272</v>
      </c>
      <c r="G51" s="3" t="s">
        <v>114</v>
      </c>
      <c r="H51" s="2" t="s">
        <v>171</v>
      </c>
      <c r="I51" s="2" t="s">
        <v>245</v>
      </c>
      <c r="J51" s="3" t="s">
        <v>265</v>
      </c>
      <c r="K51" s="5">
        <v>3</v>
      </c>
      <c r="L51" s="6">
        <v>0.27</v>
      </c>
      <c r="M51" s="12">
        <v>8</v>
      </c>
      <c r="N51" s="12">
        <f t="shared" si="0"/>
        <v>24</v>
      </c>
      <c r="O51" s="14">
        <f t="shared" si="2"/>
        <v>23.935199999999998</v>
      </c>
    </row>
    <row r="52" spans="1:15" x14ac:dyDescent="0.3">
      <c r="A52" s="2" t="s">
        <v>62</v>
      </c>
      <c r="B52" s="3" t="s">
        <v>113</v>
      </c>
      <c r="C52" s="3" t="s">
        <v>282</v>
      </c>
      <c r="D52" s="4">
        <v>45412</v>
      </c>
      <c r="E52" s="4">
        <v>45415</v>
      </c>
      <c r="F52" s="3" t="s">
        <v>272</v>
      </c>
      <c r="G52" s="3" t="s">
        <v>117</v>
      </c>
      <c r="H52" s="2" t="s">
        <v>172</v>
      </c>
      <c r="I52" s="2" t="s">
        <v>242</v>
      </c>
      <c r="J52" s="3" t="s">
        <v>262</v>
      </c>
      <c r="K52" s="5">
        <v>1</v>
      </c>
      <c r="L52" s="6">
        <v>0.04</v>
      </c>
      <c r="M52" s="12">
        <v>15</v>
      </c>
      <c r="N52" s="12">
        <f t="shared" si="0"/>
        <v>15</v>
      </c>
      <c r="O52" s="14">
        <f t="shared" si="2"/>
        <v>14.994</v>
      </c>
    </row>
    <row r="53" spans="1:15" x14ac:dyDescent="0.3">
      <c r="A53" s="2" t="s">
        <v>63</v>
      </c>
      <c r="B53" s="3" t="s">
        <v>113</v>
      </c>
      <c r="C53" s="3" t="s">
        <v>284</v>
      </c>
      <c r="D53" s="4">
        <v>45587</v>
      </c>
      <c r="E53" s="4">
        <v>45590</v>
      </c>
      <c r="F53" s="3" t="s">
        <v>274</v>
      </c>
      <c r="G53" s="3" t="s">
        <v>119</v>
      </c>
      <c r="H53" s="2" t="s">
        <v>173</v>
      </c>
      <c r="I53" s="2" t="s">
        <v>246</v>
      </c>
      <c r="J53" s="3" t="s">
        <v>264</v>
      </c>
      <c r="K53" s="5">
        <v>4</v>
      </c>
      <c r="L53" s="6">
        <v>0</v>
      </c>
      <c r="M53" s="12">
        <v>25</v>
      </c>
      <c r="N53" s="12">
        <f t="shared" si="0"/>
        <v>100</v>
      </c>
      <c r="O53" s="14">
        <f t="shared" si="2"/>
        <v>100</v>
      </c>
    </row>
    <row r="54" spans="1:15" x14ac:dyDescent="0.3">
      <c r="A54" s="2" t="s">
        <v>64</v>
      </c>
      <c r="B54" s="3" t="s">
        <v>113</v>
      </c>
      <c r="C54" s="3" t="s">
        <v>281</v>
      </c>
      <c r="D54" s="4">
        <v>45620</v>
      </c>
      <c r="E54" s="4">
        <v>45625</v>
      </c>
      <c r="F54" s="3" t="s">
        <v>272</v>
      </c>
      <c r="G54" s="3" t="s">
        <v>116</v>
      </c>
      <c r="H54" s="2" t="s">
        <v>174</v>
      </c>
      <c r="I54" s="2" t="s">
        <v>221</v>
      </c>
      <c r="J54" s="3" t="s">
        <v>269</v>
      </c>
      <c r="K54" s="5">
        <v>2</v>
      </c>
      <c r="L54" s="6">
        <v>0.24</v>
      </c>
      <c r="M54" s="12">
        <v>40</v>
      </c>
      <c r="N54" s="12">
        <f t="shared" si="0"/>
        <v>80</v>
      </c>
      <c r="O54" s="14">
        <f t="shared" si="2"/>
        <v>79.808000000000007</v>
      </c>
    </row>
    <row r="55" spans="1:15" x14ac:dyDescent="0.3">
      <c r="A55" s="2" t="s">
        <v>65</v>
      </c>
      <c r="B55" s="3" t="s">
        <v>113</v>
      </c>
      <c r="C55" s="3" t="s">
        <v>280</v>
      </c>
      <c r="D55" s="4">
        <v>45620</v>
      </c>
      <c r="E55" s="4">
        <v>45624</v>
      </c>
      <c r="F55" s="3" t="s">
        <v>271</v>
      </c>
      <c r="G55" s="3" t="s">
        <v>115</v>
      </c>
      <c r="H55" s="2" t="s">
        <v>175</v>
      </c>
      <c r="I55" s="2" t="s">
        <v>246</v>
      </c>
      <c r="J55" s="3" t="s">
        <v>265</v>
      </c>
      <c r="K55" s="5">
        <v>3</v>
      </c>
      <c r="L55" s="6">
        <v>0.26</v>
      </c>
      <c r="M55" s="12">
        <v>8</v>
      </c>
      <c r="N55" s="12">
        <f t="shared" si="0"/>
        <v>24</v>
      </c>
      <c r="O55" s="14">
        <f t="shared" si="2"/>
        <v>23.9376</v>
      </c>
    </row>
    <row r="56" spans="1:15" x14ac:dyDescent="0.3">
      <c r="A56" s="2" t="s">
        <v>66</v>
      </c>
      <c r="B56" s="3" t="s">
        <v>113</v>
      </c>
      <c r="C56" s="3" t="s">
        <v>282</v>
      </c>
      <c r="D56" s="4">
        <v>45334</v>
      </c>
      <c r="E56" s="4">
        <v>45341</v>
      </c>
      <c r="F56" s="3" t="s">
        <v>272</v>
      </c>
      <c r="G56" s="3" t="s">
        <v>117</v>
      </c>
      <c r="H56" s="2" t="s">
        <v>176</v>
      </c>
      <c r="I56" s="2" t="s">
        <v>247</v>
      </c>
      <c r="J56" s="3" t="s">
        <v>269</v>
      </c>
      <c r="K56" s="5">
        <v>5</v>
      </c>
      <c r="L56" s="6">
        <v>0.15</v>
      </c>
      <c r="M56" s="12">
        <v>40</v>
      </c>
      <c r="N56" s="12">
        <f t="shared" si="0"/>
        <v>200</v>
      </c>
      <c r="O56" s="14">
        <f t="shared" si="2"/>
        <v>199.70000000000002</v>
      </c>
    </row>
    <row r="57" spans="1:15" x14ac:dyDescent="0.3">
      <c r="A57" s="2" t="s">
        <v>67</v>
      </c>
      <c r="B57" s="3" t="s">
        <v>112</v>
      </c>
      <c r="C57" s="3" t="s">
        <v>285</v>
      </c>
      <c r="D57" s="4">
        <v>45369</v>
      </c>
      <c r="E57" s="4">
        <v>45369</v>
      </c>
      <c r="F57" s="3" t="s">
        <v>271</v>
      </c>
      <c r="G57" s="3" t="s">
        <v>120</v>
      </c>
      <c r="H57" s="2" t="s">
        <v>177</v>
      </c>
      <c r="I57" s="2" t="s">
        <v>235</v>
      </c>
      <c r="J57" s="3" t="s">
        <v>262</v>
      </c>
      <c r="K57" s="5">
        <v>5</v>
      </c>
      <c r="L57" s="6">
        <v>0.23</v>
      </c>
      <c r="M57" s="12">
        <v>15</v>
      </c>
      <c r="N57" s="12">
        <f t="shared" si="0"/>
        <v>75</v>
      </c>
      <c r="O57" s="14">
        <f t="shared" si="2"/>
        <v>74.827500000000001</v>
      </c>
    </row>
    <row r="58" spans="1:15" x14ac:dyDescent="0.3">
      <c r="A58" s="2" t="s">
        <v>68</v>
      </c>
      <c r="B58" s="3" t="s">
        <v>113</v>
      </c>
      <c r="C58" s="3" t="s">
        <v>281</v>
      </c>
      <c r="D58" s="4">
        <v>45370</v>
      </c>
      <c r="E58" s="4">
        <v>45373</v>
      </c>
      <c r="F58" s="3" t="s">
        <v>273</v>
      </c>
      <c r="G58" s="3" t="s">
        <v>116</v>
      </c>
      <c r="H58" s="2" t="s">
        <v>178</v>
      </c>
      <c r="I58" s="2" t="s">
        <v>248</v>
      </c>
      <c r="J58" s="3" t="s">
        <v>267</v>
      </c>
      <c r="K58" s="5">
        <v>5</v>
      </c>
      <c r="L58" s="6">
        <v>0.06</v>
      </c>
      <c r="M58" s="12">
        <v>60</v>
      </c>
      <c r="N58" s="12">
        <f t="shared" si="0"/>
        <v>300</v>
      </c>
      <c r="O58" s="14">
        <f t="shared" si="2"/>
        <v>299.82</v>
      </c>
    </row>
    <row r="59" spans="1:15" x14ac:dyDescent="0.3">
      <c r="A59" s="2" t="s">
        <v>69</v>
      </c>
      <c r="B59" s="3" t="s">
        <v>113</v>
      </c>
      <c r="C59" s="3" t="s">
        <v>279</v>
      </c>
      <c r="D59" s="4">
        <v>45523</v>
      </c>
      <c r="E59" s="4">
        <v>45529</v>
      </c>
      <c r="F59" s="3" t="s">
        <v>271</v>
      </c>
      <c r="G59" s="3" t="s">
        <v>114</v>
      </c>
      <c r="H59" s="2" t="s">
        <v>179</v>
      </c>
      <c r="I59" s="2" t="s">
        <v>237</v>
      </c>
      <c r="J59" s="3" t="s">
        <v>264</v>
      </c>
      <c r="K59" s="5">
        <v>3</v>
      </c>
      <c r="L59" s="6">
        <v>0.1</v>
      </c>
      <c r="M59" s="12">
        <v>25</v>
      </c>
      <c r="N59" s="12">
        <f t="shared" si="0"/>
        <v>75</v>
      </c>
      <c r="O59" s="14">
        <f t="shared" si="2"/>
        <v>74.924999999999997</v>
      </c>
    </row>
    <row r="60" spans="1:15" x14ac:dyDescent="0.3">
      <c r="A60" s="2" t="s">
        <v>70</v>
      </c>
      <c r="B60" s="3" t="s">
        <v>112</v>
      </c>
      <c r="C60" s="3" t="s">
        <v>283</v>
      </c>
      <c r="D60" s="4">
        <v>45349</v>
      </c>
      <c r="E60" s="4">
        <v>45349</v>
      </c>
      <c r="F60" s="3" t="s">
        <v>271</v>
      </c>
      <c r="G60" s="3" t="s">
        <v>118</v>
      </c>
      <c r="H60" s="2" t="s">
        <v>180</v>
      </c>
      <c r="I60" s="2" t="s">
        <v>249</v>
      </c>
      <c r="J60" s="3" t="s">
        <v>268</v>
      </c>
      <c r="K60" s="5">
        <v>3</v>
      </c>
      <c r="L60" s="6">
        <v>0.25</v>
      </c>
      <c r="M60" s="12">
        <v>12</v>
      </c>
      <c r="N60" s="12">
        <f t="shared" si="0"/>
        <v>36</v>
      </c>
      <c r="O60" s="14">
        <f t="shared" si="2"/>
        <v>35.910000000000004</v>
      </c>
    </row>
    <row r="61" spans="1:15" x14ac:dyDescent="0.3">
      <c r="A61" s="2" t="s">
        <v>71</v>
      </c>
      <c r="B61" s="3" t="s">
        <v>112</v>
      </c>
      <c r="C61" s="3" t="s">
        <v>283</v>
      </c>
      <c r="D61" s="4">
        <v>45310</v>
      </c>
      <c r="E61" s="4">
        <v>45310</v>
      </c>
      <c r="F61" s="3" t="s">
        <v>274</v>
      </c>
      <c r="G61" s="3" t="s">
        <v>118</v>
      </c>
      <c r="H61" s="2" t="s">
        <v>130</v>
      </c>
      <c r="I61" s="2" t="s">
        <v>250</v>
      </c>
      <c r="J61" s="3" t="s">
        <v>268</v>
      </c>
      <c r="K61" s="5">
        <v>5</v>
      </c>
      <c r="L61" s="6">
        <v>0.19</v>
      </c>
      <c r="M61" s="12">
        <v>12</v>
      </c>
      <c r="N61" s="12">
        <f t="shared" si="0"/>
        <v>60</v>
      </c>
      <c r="O61" s="14">
        <f t="shared" si="2"/>
        <v>59.885999999999996</v>
      </c>
    </row>
    <row r="62" spans="1:15" x14ac:dyDescent="0.3">
      <c r="A62" s="2" t="s">
        <v>72</v>
      </c>
      <c r="B62" s="3" t="s">
        <v>112</v>
      </c>
      <c r="C62" s="3" t="s">
        <v>279</v>
      </c>
      <c r="D62" s="4">
        <v>45501</v>
      </c>
      <c r="E62" s="4">
        <v>45501</v>
      </c>
      <c r="F62" s="3" t="s">
        <v>273</v>
      </c>
      <c r="G62" s="3" t="s">
        <v>114</v>
      </c>
      <c r="H62" s="2" t="s">
        <v>181</v>
      </c>
      <c r="I62" s="2" t="s">
        <v>251</v>
      </c>
      <c r="J62" s="3" t="s">
        <v>267</v>
      </c>
      <c r="K62" s="5">
        <v>2</v>
      </c>
      <c r="L62" s="6">
        <v>0.09</v>
      </c>
      <c r="M62" s="12">
        <v>60</v>
      </c>
      <c r="N62" s="12">
        <f t="shared" si="0"/>
        <v>120</v>
      </c>
      <c r="O62" s="14">
        <f t="shared" si="2"/>
        <v>119.892</v>
      </c>
    </row>
    <row r="63" spans="1:15" x14ac:dyDescent="0.3">
      <c r="A63" s="2" t="s">
        <v>73</v>
      </c>
      <c r="B63" s="3" t="s">
        <v>112</v>
      </c>
      <c r="C63" s="3" t="s">
        <v>282</v>
      </c>
      <c r="D63" s="4">
        <v>45293</v>
      </c>
      <c r="E63" s="4">
        <v>45293</v>
      </c>
      <c r="F63" s="3" t="s">
        <v>274</v>
      </c>
      <c r="G63" s="3" t="s">
        <v>117</v>
      </c>
      <c r="H63" s="2" t="s">
        <v>182</v>
      </c>
      <c r="I63" s="2" t="s">
        <v>240</v>
      </c>
      <c r="J63" s="3" t="s">
        <v>262</v>
      </c>
      <c r="K63" s="5">
        <v>4</v>
      </c>
      <c r="L63" s="6">
        <v>0.12</v>
      </c>
      <c r="M63" s="12">
        <v>15</v>
      </c>
      <c r="N63" s="12">
        <f t="shared" si="0"/>
        <v>60</v>
      </c>
      <c r="O63" s="14">
        <f t="shared" si="2"/>
        <v>59.928000000000004</v>
      </c>
    </row>
    <row r="64" spans="1:15" x14ac:dyDescent="0.3">
      <c r="A64" s="2" t="s">
        <v>74</v>
      </c>
      <c r="B64" s="3" t="s">
        <v>112</v>
      </c>
      <c r="C64" s="3" t="s">
        <v>281</v>
      </c>
      <c r="D64" s="4">
        <v>45450</v>
      </c>
      <c r="E64" s="4">
        <v>45450</v>
      </c>
      <c r="F64" s="3" t="s">
        <v>273</v>
      </c>
      <c r="G64" s="3" t="s">
        <v>116</v>
      </c>
      <c r="H64" s="2" t="s">
        <v>183</v>
      </c>
      <c r="I64" s="2" t="s">
        <v>252</v>
      </c>
      <c r="J64" s="3" t="s">
        <v>264</v>
      </c>
      <c r="K64" s="5">
        <v>4</v>
      </c>
      <c r="L64" s="6">
        <v>7.0000000000000007E-2</v>
      </c>
      <c r="M64" s="12">
        <v>25</v>
      </c>
      <c r="N64" s="12">
        <f t="shared" si="0"/>
        <v>100</v>
      </c>
      <c r="O64" s="14">
        <f t="shared" si="2"/>
        <v>99.929999999999993</v>
      </c>
    </row>
    <row r="65" spans="1:15" x14ac:dyDescent="0.3">
      <c r="A65" s="2" t="s">
        <v>75</v>
      </c>
      <c r="B65" s="3" t="s">
        <v>112</v>
      </c>
      <c r="C65" s="3" t="s">
        <v>283</v>
      </c>
      <c r="D65" s="4">
        <v>45344</v>
      </c>
      <c r="E65" s="4">
        <v>45344</v>
      </c>
      <c r="F65" s="3" t="s">
        <v>271</v>
      </c>
      <c r="G65" s="3" t="s">
        <v>118</v>
      </c>
      <c r="H65" s="2" t="s">
        <v>184</v>
      </c>
      <c r="I65" s="2" t="s">
        <v>249</v>
      </c>
      <c r="J65" s="3" t="s">
        <v>269</v>
      </c>
      <c r="K65" s="5">
        <v>2</v>
      </c>
      <c r="L65" s="6">
        <v>0.06</v>
      </c>
      <c r="M65" s="12">
        <v>40</v>
      </c>
      <c r="N65" s="12">
        <f t="shared" si="0"/>
        <v>80</v>
      </c>
      <c r="O65" s="14">
        <f t="shared" si="2"/>
        <v>79.951999999999998</v>
      </c>
    </row>
    <row r="66" spans="1:15" x14ac:dyDescent="0.3">
      <c r="A66" s="2" t="s">
        <v>76</v>
      </c>
      <c r="B66" s="3" t="s">
        <v>112</v>
      </c>
      <c r="C66" s="3" t="s">
        <v>283</v>
      </c>
      <c r="D66" s="4">
        <v>45528</v>
      </c>
      <c r="E66" s="4">
        <v>45528</v>
      </c>
      <c r="F66" s="3" t="s">
        <v>274</v>
      </c>
      <c r="G66" s="3" t="s">
        <v>118</v>
      </c>
      <c r="H66" s="2" t="s">
        <v>185</v>
      </c>
      <c r="I66" s="2" t="s">
        <v>250</v>
      </c>
      <c r="J66" s="3" t="s">
        <v>266</v>
      </c>
      <c r="K66" s="5">
        <v>5</v>
      </c>
      <c r="L66" s="6">
        <v>0.3</v>
      </c>
      <c r="M66" s="12">
        <v>10</v>
      </c>
      <c r="N66" s="12">
        <f t="shared" si="0"/>
        <v>50</v>
      </c>
      <c r="O66" s="14">
        <f t="shared" ref="O66:O97" si="3">N66*(1-L66/100)</f>
        <v>49.85</v>
      </c>
    </row>
    <row r="67" spans="1:15" x14ac:dyDescent="0.3">
      <c r="A67" s="2" t="s">
        <v>77</v>
      </c>
      <c r="B67" s="3" t="s">
        <v>113</v>
      </c>
      <c r="C67" s="3" t="s">
        <v>278</v>
      </c>
      <c r="D67" s="4">
        <v>45364</v>
      </c>
      <c r="E67" s="4">
        <v>45370</v>
      </c>
      <c r="F67" s="3" t="s">
        <v>274</v>
      </c>
      <c r="G67" s="3" t="s">
        <v>121</v>
      </c>
      <c r="H67" s="2" t="s">
        <v>186</v>
      </c>
      <c r="I67" s="2" t="s">
        <v>245</v>
      </c>
      <c r="J67" s="3" t="s">
        <v>267</v>
      </c>
      <c r="K67" s="5">
        <v>1</v>
      </c>
      <c r="L67" s="6">
        <v>0.13</v>
      </c>
      <c r="M67" s="12">
        <v>60</v>
      </c>
      <c r="N67" s="12">
        <f t="shared" ref="N67:N101" si="4">M67*K67</f>
        <v>60</v>
      </c>
      <c r="O67" s="14">
        <f t="shared" si="3"/>
        <v>59.922000000000004</v>
      </c>
    </row>
    <row r="68" spans="1:15" x14ac:dyDescent="0.3">
      <c r="A68" s="2" t="s">
        <v>78</v>
      </c>
      <c r="B68" s="3" t="s">
        <v>112</v>
      </c>
      <c r="C68" s="3" t="s">
        <v>284</v>
      </c>
      <c r="D68" s="4">
        <v>45422</v>
      </c>
      <c r="E68" s="4">
        <v>45422</v>
      </c>
      <c r="F68" s="3" t="s">
        <v>274</v>
      </c>
      <c r="G68" s="3" t="s">
        <v>119</v>
      </c>
      <c r="H68" s="2" t="s">
        <v>187</v>
      </c>
      <c r="I68" s="2" t="s">
        <v>253</v>
      </c>
      <c r="J68" s="3" t="s">
        <v>266</v>
      </c>
      <c r="K68" s="5">
        <v>1</v>
      </c>
      <c r="L68" s="6">
        <v>0.1</v>
      </c>
      <c r="M68" s="12">
        <v>10</v>
      </c>
      <c r="N68" s="12">
        <f t="shared" si="4"/>
        <v>10</v>
      </c>
      <c r="O68" s="14">
        <f t="shared" si="3"/>
        <v>9.99</v>
      </c>
    </row>
    <row r="69" spans="1:15" x14ac:dyDescent="0.3">
      <c r="A69" s="2" t="s">
        <v>79</v>
      </c>
      <c r="B69" s="3" t="s">
        <v>112</v>
      </c>
      <c r="C69" s="3" t="s">
        <v>284</v>
      </c>
      <c r="D69" s="4">
        <v>45476</v>
      </c>
      <c r="E69" s="4">
        <v>45476</v>
      </c>
      <c r="F69" s="3" t="s">
        <v>272</v>
      </c>
      <c r="G69" s="3" t="s">
        <v>119</v>
      </c>
      <c r="H69" s="2" t="s">
        <v>188</v>
      </c>
      <c r="I69" s="2" t="s">
        <v>229</v>
      </c>
      <c r="J69" s="3" t="s">
        <v>269</v>
      </c>
      <c r="K69" s="5">
        <v>5</v>
      </c>
      <c r="L69" s="6">
        <v>0.16</v>
      </c>
      <c r="M69" s="12">
        <v>40</v>
      </c>
      <c r="N69" s="12">
        <f t="shared" si="4"/>
        <v>200</v>
      </c>
      <c r="O69" s="14">
        <f t="shared" si="3"/>
        <v>199.67999999999998</v>
      </c>
    </row>
    <row r="70" spans="1:15" x14ac:dyDescent="0.3">
      <c r="A70" s="2" t="s">
        <v>80</v>
      </c>
      <c r="B70" s="3" t="s">
        <v>112</v>
      </c>
      <c r="C70" s="3" t="s">
        <v>279</v>
      </c>
      <c r="D70" s="4">
        <v>45399</v>
      </c>
      <c r="E70" s="4">
        <v>45399</v>
      </c>
      <c r="F70" s="3" t="s">
        <v>273</v>
      </c>
      <c r="G70" s="3" t="s">
        <v>114</v>
      </c>
      <c r="H70" s="2" t="s">
        <v>189</v>
      </c>
      <c r="I70" s="2" t="s">
        <v>246</v>
      </c>
      <c r="J70" s="3" t="s">
        <v>266</v>
      </c>
      <c r="K70" s="5">
        <v>5</v>
      </c>
      <c r="L70" s="6">
        <v>0.21</v>
      </c>
      <c r="M70" s="12">
        <v>10</v>
      </c>
      <c r="N70" s="12">
        <f t="shared" si="4"/>
        <v>50</v>
      </c>
      <c r="O70" s="14">
        <f t="shared" si="3"/>
        <v>49.895000000000003</v>
      </c>
    </row>
    <row r="71" spans="1:15" x14ac:dyDescent="0.3">
      <c r="A71" s="2" t="s">
        <v>81</v>
      </c>
      <c r="B71" s="3" t="s">
        <v>113</v>
      </c>
      <c r="C71" s="3" t="s">
        <v>284</v>
      </c>
      <c r="D71" s="4">
        <v>45303</v>
      </c>
      <c r="E71" s="4">
        <v>45308</v>
      </c>
      <c r="F71" s="3" t="s">
        <v>272</v>
      </c>
      <c r="G71" s="3" t="s">
        <v>119</v>
      </c>
      <c r="H71" s="2" t="s">
        <v>190</v>
      </c>
      <c r="I71" s="2" t="s">
        <v>254</v>
      </c>
      <c r="J71" s="3" t="s">
        <v>268</v>
      </c>
      <c r="K71" s="5">
        <v>1</v>
      </c>
      <c r="L71" s="6">
        <v>0.23</v>
      </c>
      <c r="M71" s="12">
        <v>12</v>
      </c>
      <c r="N71" s="12">
        <f t="shared" si="4"/>
        <v>12</v>
      </c>
      <c r="O71" s="14">
        <f t="shared" si="3"/>
        <v>11.9724</v>
      </c>
    </row>
    <row r="72" spans="1:15" x14ac:dyDescent="0.3">
      <c r="A72" s="2" t="s">
        <v>82</v>
      </c>
      <c r="B72" s="3" t="s">
        <v>112</v>
      </c>
      <c r="C72" s="3" t="s">
        <v>278</v>
      </c>
      <c r="D72" s="4">
        <v>45636</v>
      </c>
      <c r="E72" s="4">
        <v>45636</v>
      </c>
      <c r="F72" s="3" t="s">
        <v>273</v>
      </c>
      <c r="G72" s="3" t="s">
        <v>121</v>
      </c>
      <c r="H72" s="2" t="s">
        <v>191</v>
      </c>
      <c r="I72" s="2" t="s">
        <v>223</v>
      </c>
      <c r="J72" s="3" t="s">
        <v>265</v>
      </c>
      <c r="K72" s="5">
        <v>1</v>
      </c>
      <c r="L72" s="6">
        <v>0.27</v>
      </c>
      <c r="M72" s="12">
        <v>8</v>
      </c>
      <c r="N72" s="12">
        <f t="shared" si="4"/>
        <v>8</v>
      </c>
      <c r="O72" s="14">
        <f t="shared" si="3"/>
        <v>7.9783999999999997</v>
      </c>
    </row>
    <row r="73" spans="1:15" x14ac:dyDescent="0.3">
      <c r="A73" s="2" t="s">
        <v>83</v>
      </c>
      <c r="B73" s="3" t="s">
        <v>113</v>
      </c>
      <c r="C73" s="3" t="s">
        <v>284</v>
      </c>
      <c r="D73" s="4">
        <v>45515</v>
      </c>
      <c r="E73" s="4">
        <v>45521</v>
      </c>
      <c r="F73" s="3" t="s">
        <v>272</v>
      </c>
      <c r="G73" s="3" t="s">
        <v>119</v>
      </c>
      <c r="H73" s="2" t="s">
        <v>192</v>
      </c>
      <c r="I73" s="2" t="s">
        <v>244</v>
      </c>
      <c r="J73" s="3" t="s">
        <v>267</v>
      </c>
      <c r="K73" s="5">
        <v>1</v>
      </c>
      <c r="L73" s="6">
        <v>0.15</v>
      </c>
      <c r="M73" s="12">
        <v>60</v>
      </c>
      <c r="N73" s="12">
        <f t="shared" si="4"/>
        <v>60</v>
      </c>
      <c r="O73" s="14">
        <f t="shared" si="3"/>
        <v>59.910000000000004</v>
      </c>
    </row>
    <row r="74" spans="1:15" x14ac:dyDescent="0.3">
      <c r="A74" s="2" t="s">
        <v>84</v>
      </c>
      <c r="B74" s="3" t="s">
        <v>113</v>
      </c>
      <c r="C74" s="3" t="s">
        <v>283</v>
      </c>
      <c r="D74" s="4">
        <v>45547</v>
      </c>
      <c r="E74" s="4">
        <v>45550</v>
      </c>
      <c r="F74" s="3" t="s">
        <v>272</v>
      </c>
      <c r="G74" s="3" t="s">
        <v>118</v>
      </c>
      <c r="H74" s="2" t="s">
        <v>193</v>
      </c>
      <c r="I74" s="2" t="s">
        <v>242</v>
      </c>
      <c r="J74" s="3" t="s">
        <v>266</v>
      </c>
      <c r="K74" s="5">
        <v>3</v>
      </c>
      <c r="L74" s="6">
        <v>0.06</v>
      </c>
      <c r="M74" s="12">
        <v>10</v>
      </c>
      <c r="N74" s="12">
        <f t="shared" si="4"/>
        <v>30</v>
      </c>
      <c r="O74" s="14">
        <f t="shared" si="3"/>
        <v>29.981999999999999</v>
      </c>
    </row>
    <row r="75" spans="1:15" x14ac:dyDescent="0.3">
      <c r="A75" s="2" t="s">
        <v>85</v>
      </c>
      <c r="B75" s="3" t="s">
        <v>112</v>
      </c>
      <c r="C75" s="3" t="s">
        <v>278</v>
      </c>
      <c r="D75" s="4">
        <v>45330</v>
      </c>
      <c r="E75" s="4">
        <v>45330</v>
      </c>
      <c r="F75" s="3" t="s">
        <v>274</v>
      </c>
      <c r="G75" s="3" t="s">
        <v>121</v>
      </c>
      <c r="H75" s="2" t="s">
        <v>194</v>
      </c>
      <c r="I75" s="2" t="s">
        <v>255</v>
      </c>
      <c r="J75" s="3" t="s">
        <v>263</v>
      </c>
      <c r="K75" s="5">
        <v>3</v>
      </c>
      <c r="L75" s="6">
        <v>0.25</v>
      </c>
      <c r="M75" s="12">
        <v>80</v>
      </c>
      <c r="N75" s="12">
        <f t="shared" si="4"/>
        <v>240</v>
      </c>
      <c r="O75" s="14">
        <f t="shared" si="3"/>
        <v>239.4</v>
      </c>
    </row>
    <row r="76" spans="1:15" x14ac:dyDescent="0.3">
      <c r="A76" s="2" t="s">
        <v>86</v>
      </c>
      <c r="B76" s="3" t="s">
        <v>113</v>
      </c>
      <c r="C76" s="3" t="s">
        <v>283</v>
      </c>
      <c r="D76" s="4">
        <v>45406</v>
      </c>
      <c r="E76" s="4">
        <v>45408</v>
      </c>
      <c r="F76" s="3" t="s">
        <v>272</v>
      </c>
      <c r="G76" s="3" t="s">
        <v>118</v>
      </c>
      <c r="H76" s="2" t="s">
        <v>195</v>
      </c>
      <c r="I76" s="2" t="s">
        <v>256</v>
      </c>
      <c r="J76" s="3" t="s">
        <v>265</v>
      </c>
      <c r="K76" s="5">
        <v>5</v>
      </c>
      <c r="L76" s="6">
        <v>0.21</v>
      </c>
      <c r="M76" s="12">
        <v>8</v>
      </c>
      <c r="N76" s="12">
        <f t="shared" si="4"/>
        <v>40</v>
      </c>
      <c r="O76" s="14">
        <f t="shared" si="3"/>
        <v>39.915999999999997</v>
      </c>
    </row>
    <row r="77" spans="1:15" x14ac:dyDescent="0.3">
      <c r="A77" s="2" t="s">
        <v>87</v>
      </c>
      <c r="B77" s="3" t="s">
        <v>113</v>
      </c>
      <c r="C77" s="3" t="s">
        <v>283</v>
      </c>
      <c r="D77" s="4">
        <v>45625</v>
      </c>
      <c r="E77" s="4">
        <v>45626</v>
      </c>
      <c r="F77" s="3" t="s">
        <v>274</v>
      </c>
      <c r="G77" s="3" t="s">
        <v>118</v>
      </c>
      <c r="H77" s="2" t="s">
        <v>196</v>
      </c>
      <c r="I77" s="2" t="s">
        <v>239</v>
      </c>
      <c r="J77" s="3" t="s">
        <v>269</v>
      </c>
      <c r="K77" s="5">
        <v>1</v>
      </c>
      <c r="L77" s="6">
        <v>0.08</v>
      </c>
      <c r="M77" s="12">
        <v>40</v>
      </c>
      <c r="N77" s="12">
        <f t="shared" si="4"/>
        <v>40</v>
      </c>
      <c r="O77" s="14">
        <f t="shared" si="3"/>
        <v>39.967999999999996</v>
      </c>
    </row>
    <row r="78" spans="1:15" x14ac:dyDescent="0.3">
      <c r="A78" s="2" t="s">
        <v>88</v>
      </c>
      <c r="B78" s="3" t="s">
        <v>112</v>
      </c>
      <c r="C78" s="3" t="s">
        <v>283</v>
      </c>
      <c r="D78" s="4">
        <v>45620</v>
      </c>
      <c r="E78" s="4">
        <v>45620</v>
      </c>
      <c r="F78" s="3" t="s">
        <v>272</v>
      </c>
      <c r="G78" s="3" t="s">
        <v>118</v>
      </c>
      <c r="H78" s="2" t="s">
        <v>197</v>
      </c>
      <c r="I78" s="2" t="s">
        <v>237</v>
      </c>
      <c r="J78" s="3" t="s">
        <v>264</v>
      </c>
      <c r="K78" s="5">
        <v>4</v>
      </c>
      <c r="L78" s="6">
        <v>0.09</v>
      </c>
      <c r="M78" s="12">
        <v>25</v>
      </c>
      <c r="N78" s="12">
        <f t="shared" si="4"/>
        <v>100</v>
      </c>
      <c r="O78" s="14">
        <f t="shared" si="3"/>
        <v>99.91</v>
      </c>
    </row>
    <row r="79" spans="1:15" x14ac:dyDescent="0.3">
      <c r="A79" s="2" t="s">
        <v>89</v>
      </c>
      <c r="B79" s="3" t="s">
        <v>113</v>
      </c>
      <c r="C79" s="3" t="s">
        <v>281</v>
      </c>
      <c r="D79" s="4">
        <v>45400</v>
      </c>
      <c r="E79" s="4">
        <v>45403</v>
      </c>
      <c r="F79" s="3" t="s">
        <v>272</v>
      </c>
      <c r="G79" s="3" t="s">
        <v>116</v>
      </c>
      <c r="H79" s="2" t="s">
        <v>198</v>
      </c>
      <c r="I79" s="2" t="s">
        <v>240</v>
      </c>
      <c r="J79" s="3" t="s">
        <v>266</v>
      </c>
      <c r="K79" s="5">
        <v>1</v>
      </c>
      <c r="L79" s="6">
        <v>0.27</v>
      </c>
      <c r="M79" s="12">
        <v>10</v>
      </c>
      <c r="N79" s="12">
        <f t="shared" si="4"/>
        <v>10</v>
      </c>
      <c r="O79" s="14">
        <f t="shared" si="3"/>
        <v>9.972999999999999</v>
      </c>
    </row>
    <row r="80" spans="1:15" x14ac:dyDescent="0.3">
      <c r="A80" s="2" t="s">
        <v>90</v>
      </c>
      <c r="B80" s="3" t="s">
        <v>113</v>
      </c>
      <c r="C80" s="3" t="s">
        <v>280</v>
      </c>
      <c r="D80" s="4">
        <v>45316</v>
      </c>
      <c r="E80" s="4">
        <v>45323</v>
      </c>
      <c r="F80" s="3" t="s">
        <v>273</v>
      </c>
      <c r="G80" s="3" t="s">
        <v>115</v>
      </c>
      <c r="H80" s="2" t="s">
        <v>199</v>
      </c>
      <c r="I80" s="2" t="s">
        <v>242</v>
      </c>
      <c r="J80" s="3" t="s">
        <v>262</v>
      </c>
      <c r="K80" s="5">
        <v>2</v>
      </c>
      <c r="L80" s="6">
        <v>0.02</v>
      </c>
      <c r="M80" s="12">
        <v>15</v>
      </c>
      <c r="N80" s="12">
        <f t="shared" si="4"/>
        <v>30</v>
      </c>
      <c r="O80" s="14">
        <f t="shared" si="3"/>
        <v>29.994</v>
      </c>
    </row>
    <row r="81" spans="1:15" x14ac:dyDescent="0.3">
      <c r="A81" s="2" t="s">
        <v>91</v>
      </c>
      <c r="B81" s="3" t="s">
        <v>113</v>
      </c>
      <c r="C81" s="3" t="s">
        <v>278</v>
      </c>
      <c r="D81" s="4">
        <v>45489</v>
      </c>
      <c r="E81" s="4">
        <v>45492</v>
      </c>
      <c r="F81" s="3" t="s">
        <v>274</v>
      </c>
      <c r="G81" s="3" t="s">
        <v>121</v>
      </c>
      <c r="H81" s="2" t="s">
        <v>200</v>
      </c>
      <c r="I81" s="2" t="s">
        <v>254</v>
      </c>
      <c r="J81" s="3" t="s">
        <v>267</v>
      </c>
      <c r="K81" s="5">
        <v>1</v>
      </c>
      <c r="L81" s="6">
        <v>0.15</v>
      </c>
      <c r="M81" s="12">
        <v>60</v>
      </c>
      <c r="N81" s="12">
        <f t="shared" si="4"/>
        <v>60</v>
      </c>
      <c r="O81" s="14">
        <f t="shared" si="3"/>
        <v>59.910000000000004</v>
      </c>
    </row>
    <row r="82" spans="1:15" x14ac:dyDescent="0.3">
      <c r="A82" s="2" t="s">
        <v>92</v>
      </c>
      <c r="B82" s="3" t="s">
        <v>112</v>
      </c>
      <c r="C82" s="3" t="s">
        <v>285</v>
      </c>
      <c r="D82" s="4">
        <v>45522</v>
      </c>
      <c r="E82" s="4">
        <v>45522</v>
      </c>
      <c r="F82" s="3" t="s">
        <v>271</v>
      </c>
      <c r="G82" s="3" t="s">
        <v>120</v>
      </c>
      <c r="H82" s="2" t="s">
        <v>201</v>
      </c>
      <c r="I82" s="2" t="s">
        <v>237</v>
      </c>
      <c r="J82" s="3" t="s">
        <v>263</v>
      </c>
      <c r="K82" s="5">
        <v>3</v>
      </c>
      <c r="L82" s="6">
        <v>0.26</v>
      </c>
      <c r="M82" s="12">
        <v>80</v>
      </c>
      <c r="N82" s="12">
        <f t="shared" si="4"/>
        <v>240</v>
      </c>
      <c r="O82" s="14">
        <f t="shared" si="3"/>
        <v>239.37599999999998</v>
      </c>
    </row>
    <row r="83" spans="1:15" x14ac:dyDescent="0.3">
      <c r="A83" s="2" t="s">
        <v>93</v>
      </c>
      <c r="B83" s="3" t="s">
        <v>112</v>
      </c>
      <c r="C83" s="3" t="s">
        <v>282</v>
      </c>
      <c r="D83" s="4">
        <v>45374</v>
      </c>
      <c r="E83" s="4">
        <v>45374</v>
      </c>
      <c r="F83" s="3" t="s">
        <v>271</v>
      </c>
      <c r="G83" s="3" t="s">
        <v>117</v>
      </c>
      <c r="H83" s="2" t="s">
        <v>202</v>
      </c>
      <c r="I83" s="2" t="s">
        <v>257</v>
      </c>
      <c r="J83" s="3" t="s">
        <v>265</v>
      </c>
      <c r="K83" s="5">
        <v>3</v>
      </c>
      <c r="L83" s="6">
        <v>0.18</v>
      </c>
      <c r="M83" s="12">
        <v>8</v>
      </c>
      <c r="N83" s="12">
        <f t="shared" si="4"/>
        <v>24</v>
      </c>
      <c r="O83" s="14">
        <f t="shared" si="3"/>
        <v>23.956800000000001</v>
      </c>
    </row>
    <row r="84" spans="1:15" x14ac:dyDescent="0.3">
      <c r="A84" s="2" t="s">
        <v>94</v>
      </c>
      <c r="B84" s="3" t="s">
        <v>113</v>
      </c>
      <c r="C84" s="3" t="s">
        <v>280</v>
      </c>
      <c r="D84" s="4">
        <v>45529</v>
      </c>
      <c r="E84" s="4">
        <v>45532</v>
      </c>
      <c r="F84" s="3" t="s">
        <v>274</v>
      </c>
      <c r="G84" s="3" t="s">
        <v>115</v>
      </c>
      <c r="H84" s="2" t="s">
        <v>203</v>
      </c>
      <c r="I84" s="2" t="s">
        <v>252</v>
      </c>
      <c r="J84" s="3" t="s">
        <v>269</v>
      </c>
      <c r="K84" s="5">
        <v>2</v>
      </c>
      <c r="L84" s="6">
        <v>0.14000000000000001</v>
      </c>
      <c r="M84" s="12">
        <v>40</v>
      </c>
      <c r="N84" s="12">
        <f t="shared" si="4"/>
        <v>80</v>
      </c>
      <c r="O84" s="14">
        <f t="shared" si="3"/>
        <v>79.888000000000005</v>
      </c>
    </row>
    <row r="85" spans="1:15" x14ac:dyDescent="0.3">
      <c r="A85" s="2" t="s">
        <v>95</v>
      </c>
      <c r="B85" s="3" t="s">
        <v>112</v>
      </c>
      <c r="C85" s="3" t="s">
        <v>283</v>
      </c>
      <c r="D85" s="4">
        <v>45363</v>
      </c>
      <c r="E85" s="4">
        <v>45363</v>
      </c>
      <c r="F85" s="3" t="s">
        <v>274</v>
      </c>
      <c r="G85" s="3" t="s">
        <v>118</v>
      </c>
      <c r="H85" s="2" t="s">
        <v>204</v>
      </c>
      <c r="I85" s="2" t="s">
        <v>244</v>
      </c>
      <c r="J85" s="3" t="s">
        <v>267</v>
      </c>
      <c r="K85" s="5">
        <v>5</v>
      </c>
      <c r="L85" s="6">
        <v>0.16</v>
      </c>
      <c r="M85" s="12">
        <v>60</v>
      </c>
      <c r="N85" s="12">
        <f t="shared" si="4"/>
        <v>300</v>
      </c>
      <c r="O85" s="14">
        <f t="shared" si="3"/>
        <v>299.52</v>
      </c>
    </row>
    <row r="86" spans="1:15" x14ac:dyDescent="0.3">
      <c r="A86" s="2" t="s">
        <v>96</v>
      </c>
      <c r="B86" s="3" t="s">
        <v>113</v>
      </c>
      <c r="C86" s="3" t="s">
        <v>282</v>
      </c>
      <c r="D86" s="4">
        <v>45396</v>
      </c>
      <c r="E86" s="4">
        <v>45401</v>
      </c>
      <c r="F86" s="3" t="s">
        <v>271</v>
      </c>
      <c r="G86" s="3" t="s">
        <v>117</v>
      </c>
      <c r="H86" s="2" t="s">
        <v>205</v>
      </c>
      <c r="I86" s="2" t="s">
        <v>243</v>
      </c>
      <c r="J86" s="3" t="s">
        <v>267</v>
      </c>
      <c r="K86" s="5">
        <v>3</v>
      </c>
      <c r="L86" s="6">
        <v>0.08</v>
      </c>
      <c r="M86" s="12">
        <v>60</v>
      </c>
      <c r="N86" s="12">
        <f t="shared" si="4"/>
        <v>180</v>
      </c>
      <c r="O86" s="14">
        <f t="shared" si="3"/>
        <v>179.85599999999999</v>
      </c>
    </row>
    <row r="87" spans="1:15" x14ac:dyDescent="0.3">
      <c r="A87" s="2" t="s">
        <v>97</v>
      </c>
      <c r="B87" s="3" t="s">
        <v>113</v>
      </c>
      <c r="C87" s="3" t="s">
        <v>283</v>
      </c>
      <c r="D87" s="4">
        <v>45416</v>
      </c>
      <c r="E87" s="4">
        <v>45422</v>
      </c>
      <c r="F87" s="3" t="s">
        <v>273</v>
      </c>
      <c r="G87" s="3" t="s">
        <v>118</v>
      </c>
      <c r="H87" s="2" t="s">
        <v>206</v>
      </c>
      <c r="I87" s="2" t="s">
        <v>233</v>
      </c>
      <c r="J87" s="3" t="s">
        <v>267</v>
      </c>
      <c r="K87" s="5">
        <v>3</v>
      </c>
      <c r="L87" s="6">
        <v>0.01</v>
      </c>
      <c r="M87" s="12">
        <v>60</v>
      </c>
      <c r="N87" s="12">
        <f t="shared" si="4"/>
        <v>180</v>
      </c>
      <c r="O87" s="14">
        <f t="shared" si="3"/>
        <v>179.982</v>
      </c>
    </row>
    <row r="88" spans="1:15" x14ac:dyDescent="0.3">
      <c r="A88" s="2" t="s">
        <v>98</v>
      </c>
      <c r="B88" s="3" t="s">
        <v>113</v>
      </c>
      <c r="C88" s="3" t="s">
        <v>285</v>
      </c>
      <c r="D88" s="4">
        <v>45358</v>
      </c>
      <c r="E88" s="4">
        <v>45361</v>
      </c>
      <c r="F88" s="3" t="s">
        <v>271</v>
      </c>
      <c r="G88" s="3" t="s">
        <v>120</v>
      </c>
      <c r="H88" s="2" t="s">
        <v>207</v>
      </c>
      <c r="I88" s="2" t="s">
        <v>228</v>
      </c>
      <c r="J88" s="3" t="s">
        <v>262</v>
      </c>
      <c r="K88" s="5">
        <v>3</v>
      </c>
      <c r="L88" s="6">
        <v>0.1</v>
      </c>
      <c r="M88" s="12">
        <v>15</v>
      </c>
      <c r="N88" s="12">
        <f t="shared" si="4"/>
        <v>45</v>
      </c>
      <c r="O88" s="14">
        <f t="shared" si="3"/>
        <v>44.954999999999998</v>
      </c>
    </row>
    <row r="89" spans="1:15" x14ac:dyDescent="0.3">
      <c r="A89" s="2" t="s">
        <v>99</v>
      </c>
      <c r="B89" s="3" t="s">
        <v>112</v>
      </c>
      <c r="C89" s="3" t="s">
        <v>283</v>
      </c>
      <c r="D89" s="4">
        <v>45483</v>
      </c>
      <c r="E89" s="4">
        <v>45483</v>
      </c>
      <c r="F89" s="3" t="s">
        <v>274</v>
      </c>
      <c r="G89" s="3" t="s">
        <v>118</v>
      </c>
      <c r="H89" s="2" t="s">
        <v>208</v>
      </c>
      <c r="I89" s="2" t="s">
        <v>228</v>
      </c>
      <c r="J89" s="3" t="s">
        <v>263</v>
      </c>
      <c r="K89" s="5">
        <v>2</v>
      </c>
      <c r="L89" s="6">
        <v>0.06</v>
      </c>
      <c r="M89" s="12">
        <v>80</v>
      </c>
      <c r="N89" s="12">
        <f t="shared" si="4"/>
        <v>160</v>
      </c>
      <c r="O89" s="14">
        <f t="shared" si="3"/>
        <v>159.904</v>
      </c>
    </row>
    <row r="90" spans="1:15" x14ac:dyDescent="0.3">
      <c r="A90" s="2" t="s">
        <v>100</v>
      </c>
      <c r="B90" s="3" t="s">
        <v>113</v>
      </c>
      <c r="C90" s="3" t="s">
        <v>282</v>
      </c>
      <c r="D90" s="4">
        <v>45481</v>
      </c>
      <c r="E90" s="4">
        <v>45487</v>
      </c>
      <c r="F90" s="3" t="s">
        <v>274</v>
      </c>
      <c r="G90" s="3" t="s">
        <v>117</v>
      </c>
      <c r="H90" s="2" t="s">
        <v>209</v>
      </c>
      <c r="I90" s="2" t="s">
        <v>258</v>
      </c>
      <c r="J90" s="3" t="s">
        <v>268</v>
      </c>
      <c r="K90" s="5">
        <v>3</v>
      </c>
      <c r="L90" s="6">
        <v>0.05</v>
      </c>
      <c r="M90" s="12">
        <v>12</v>
      </c>
      <c r="N90" s="12">
        <f t="shared" si="4"/>
        <v>36</v>
      </c>
      <c r="O90" s="14">
        <f t="shared" si="3"/>
        <v>35.981999999999999</v>
      </c>
    </row>
    <row r="91" spans="1:15" x14ac:dyDescent="0.3">
      <c r="A91" s="2" t="s">
        <v>101</v>
      </c>
      <c r="B91" s="3" t="s">
        <v>112</v>
      </c>
      <c r="C91" s="3" t="s">
        <v>281</v>
      </c>
      <c r="D91" s="4">
        <v>45642</v>
      </c>
      <c r="E91" s="4">
        <v>45642</v>
      </c>
      <c r="F91" s="3" t="s">
        <v>272</v>
      </c>
      <c r="G91" s="3" t="s">
        <v>116</v>
      </c>
      <c r="H91" s="2" t="s">
        <v>210</v>
      </c>
      <c r="I91" s="2" t="s">
        <v>245</v>
      </c>
      <c r="J91" s="3" t="s">
        <v>269</v>
      </c>
      <c r="K91" s="5">
        <v>4</v>
      </c>
      <c r="L91" s="6">
        <v>0.24</v>
      </c>
      <c r="M91" s="12">
        <v>40</v>
      </c>
      <c r="N91" s="12">
        <f t="shared" si="4"/>
        <v>160</v>
      </c>
      <c r="O91" s="14">
        <f t="shared" si="3"/>
        <v>159.61600000000001</v>
      </c>
    </row>
    <row r="92" spans="1:15" x14ac:dyDescent="0.3">
      <c r="A92" s="2" t="s">
        <v>102</v>
      </c>
      <c r="B92" s="3" t="s">
        <v>112</v>
      </c>
      <c r="C92" s="3" t="s">
        <v>284</v>
      </c>
      <c r="D92" s="4">
        <v>45368</v>
      </c>
      <c r="E92" s="4">
        <v>45368</v>
      </c>
      <c r="F92" s="3" t="s">
        <v>274</v>
      </c>
      <c r="G92" s="3" t="s">
        <v>119</v>
      </c>
      <c r="H92" s="2" t="s">
        <v>211</v>
      </c>
      <c r="I92" s="2" t="s">
        <v>253</v>
      </c>
      <c r="J92" s="3" t="s">
        <v>269</v>
      </c>
      <c r="K92" s="5">
        <v>3</v>
      </c>
      <c r="L92" s="6">
        <v>0.15</v>
      </c>
      <c r="M92" s="12">
        <v>40</v>
      </c>
      <c r="N92" s="12">
        <f t="shared" si="4"/>
        <v>120</v>
      </c>
      <c r="O92" s="14">
        <f t="shared" si="3"/>
        <v>119.82000000000001</v>
      </c>
    </row>
    <row r="93" spans="1:15" x14ac:dyDescent="0.3">
      <c r="A93" s="2" t="s">
        <v>103</v>
      </c>
      <c r="B93" s="3" t="s">
        <v>112</v>
      </c>
      <c r="C93" s="3" t="s">
        <v>283</v>
      </c>
      <c r="D93" s="4">
        <v>45616</v>
      </c>
      <c r="E93" s="4">
        <v>45616</v>
      </c>
      <c r="F93" s="3" t="s">
        <v>271</v>
      </c>
      <c r="G93" s="3" t="s">
        <v>118</v>
      </c>
      <c r="H93" s="2" t="s">
        <v>212</v>
      </c>
      <c r="I93" s="2" t="s">
        <v>252</v>
      </c>
      <c r="J93" s="3" t="s">
        <v>263</v>
      </c>
      <c r="K93" s="5">
        <v>2</v>
      </c>
      <c r="L93" s="6">
        <v>0.02</v>
      </c>
      <c r="M93" s="12">
        <v>80</v>
      </c>
      <c r="N93" s="12">
        <f t="shared" si="4"/>
        <v>160</v>
      </c>
      <c r="O93" s="14">
        <f t="shared" si="3"/>
        <v>159.96800000000002</v>
      </c>
    </row>
    <row r="94" spans="1:15" x14ac:dyDescent="0.3">
      <c r="A94" s="2" t="s">
        <v>104</v>
      </c>
      <c r="B94" s="3" t="s">
        <v>112</v>
      </c>
      <c r="C94" s="3" t="s">
        <v>282</v>
      </c>
      <c r="D94" s="4">
        <v>45533</v>
      </c>
      <c r="E94" s="4">
        <v>45533</v>
      </c>
      <c r="F94" s="3" t="s">
        <v>272</v>
      </c>
      <c r="G94" s="3" t="s">
        <v>117</v>
      </c>
      <c r="H94" s="2" t="s">
        <v>213</v>
      </c>
      <c r="I94" s="2" t="s">
        <v>221</v>
      </c>
      <c r="J94" s="3" t="s">
        <v>268</v>
      </c>
      <c r="K94" s="5">
        <v>1</v>
      </c>
      <c r="L94" s="6">
        <v>0.01</v>
      </c>
      <c r="M94" s="12">
        <v>12</v>
      </c>
      <c r="N94" s="12">
        <f t="shared" si="4"/>
        <v>12</v>
      </c>
      <c r="O94" s="14">
        <f t="shared" si="3"/>
        <v>11.998799999999999</v>
      </c>
    </row>
    <row r="95" spans="1:15" x14ac:dyDescent="0.3">
      <c r="A95" s="2" t="s">
        <v>105</v>
      </c>
      <c r="B95" s="3" t="s">
        <v>113</v>
      </c>
      <c r="C95" s="3" t="s">
        <v>282</v>
      </c>
      <c r="D95" s="4">
        <v>45476</v>
      </c>
      <c r="E95" s="4">
        <v>45479</v>
      </c>
      <c r="F95" s="3" t="s">
        <v>274</v>
      </c>
      <c r="G95" s="3" t="s">
        <v>117</v>
      </c>
      <c r="H95" s="2" t="s">
        <v>214</v>
      </c>
      <c r="I95" s="2" t="s">
        <v>225</v>
      </c>
      <c r="J95" s="3" t="s">
        <v>268</v>
      </c>
      <c r="K95" s="5">
        <v>2</v>
      </c>
      <c r="L95" s="6">
        <v>7.0000000000000007E-2</v>
      </c>
      <c r="M95" s="12">
        <v>12</v>
      </c>
      <c r="N95" s="12">
        <f t="shared" si="4"/>
        <v>24</v>
      </c>
      <c r="O95" s="14">
        <f t="shared" si="3"/>
        <v>23.9832</v>
      </c>
    </row>
    <row r="96" spans="1:15" x14ac:dyDescent="0.3">
      <c r="A96" s="2" t="s">
        <v>106</v>
      </c>
      <c r="B96" s="3" t="s">
        <v>113</v>
      </c>
      <c r="C96" s="3" t="s">
        <v>283</v>
      </c>
      <c r="D96" s="4">
        <v>45444</v>
      </c>
      <c r="E96" s="4">
        <v>45449</v>
      </c>
      <c r="F96" s="3" t="s">
        <v>274</v>
      </c>
      <c r="G96" s="3" t="s">
        <v>118</v>
      </c>
      <c r="H96" s="2" t="s">
        <v>215</v>
      </c>
      <c r="I96" s="2" t="s">
        <v>259</v>
      </c>
      <c r="J96" s="3" t="s">
        <v>269</v>
      </c>
      <c r="K96" s="5">
        <v>4</v>
      </c>
      <c r="L96" s="6">
        <v>0.2</v>
      </c>
      <c r="M96" s="12">
        <v>40</v>
      </c>
      <c r="N96" s="12">
        <f t="shared" si="4"/>
        <v>160</v>
      </c>
      <c r="O96" s="14">
        <f t="shared" si="3"/>
        <v>159.68</v>
      </c>
    </row>
    <row r="97" spans="1:15" x14ac:dyDescent="0.3">
      <c r="A97" s="2" t="s">
        <v>107</v>
      </c>
      <c r="B97" s="3" t="s">
        <v>113</v>
      </c>
      <c r="C97" s="3" t="s">
        <v>280</v>
      </c>
      <c r="D97" s="4">
        <v>45401</v>
      </c>
      <c r="E97" s="4">
        <v>45408</v>
      </c>
      <c r="F97" s="3" t="s">
        <v>272</v>
      </c>
      <c r="G97" s="3" t="s">
        <v>115</v>
      </c>
      <c r="H97" s="2" t="s">
        <v>216</v>
      </c>
      <c r="I97" s="2" t="s">
        <v>238</v>
      </c>
      <c r="J97" s="3" t="s">
        <v>264</v>
      </c>
      <c r="K97" s="5">
        <v>1</v>
      </c>
      <c r="L97" s="6">
        <v>0.11</v>
      </c>
      <c r="M97" s="12">
        <v>25</v>
      </c>
      <c r="N97" s="12">
        <f t="shared" si="4"/>
        <v>25</v>
      </c>
      <c r="O97" s="14">
        <f t="shared" si="3"/>
        <v>24.9725</v>
      </c>
    </row>
    <row r="98" spans="1:15" x14ac:dyDescent="0.3">
      <c r="A98" s="2" t="s">
        <v>108</v>
      </c>
      <c r="B98" s="3" t="s">
        <v>112</v>
      </c>
      <c r="C98" s="3" t="s">
        <v>285</v>
      </c>
      <c r="D98" s="4">
        <v>45656</v>
      </c>
      <c r="E98" s="4">
        <v>45656</v>
      </c>
      <c r="F98" s="3" t="s">
        <v>272</v>
      </c>
      <c r="G98" s="3" t="s">
        <v>120</v>
      </c>
      <c r="H98" s="2" t="s">
        <v>217</v>
      </c>
      <c r="I98" s="2" t="s">
        <v>260</v>
      </c>
      <c r="J98" s="3" t="s">
        <v>268</v>
      </c>
      <c r="K98" s="5">
        <v>3</v>
      </c>
      <c r="L98" s="6">
        <v>0.08</v>
      </c>
      <c r="M98" s="12">
        <v>12</v>
      </c>
      <c r="N98" s="12">
        <f t="shared" si="4"/>
        <v>36</v>
      </c>
      <c r="O98" s="14">
        <f t="shared" ref="O98:O101" si="5">N98*(1-L98/100)</f>
        <v>35.971199999999996</v>
      </c>
    </row>
    <row r="99" spans="1:15" x14ac:dyDescent="0.3">
      <c r="A99" s="2" t="s">
        <v>109</v>
      </c>
      <c r="B99" s="3" t="s">
        <v>113</v>
      </c>
      <c r="C99" s="3" t="s">
        <v>279</v>
      </c>
      <c r="D99" s="4">
        <v>45419</v>
      </c>
      <c r="E99" s="4">
        <v>45423</v>
      </c>
      <c r="F99" s="3" t="s">
        <v>273</v>
      </c>
      <c r="G99" s="3" t="s">
        <v>114</v>
      </c>
      <c r="H99" s="2" t="s">
        <v>218</v>
      </c>
      <c r="I99" s="2" t="s">
        <v>261</v>
      </c>
      <c r="J99" s="3" t="s">
        <v>263</v>
      </c>
      <c r="K99" s="5">
        <v>3</v>
      </c>
      <c r="L99" s="6">
        <v>0.16</v>
      </c>
      <c r="M99" s="12">
        <v>80</v>
      </c>
      <c r="N99" s="12">
        <f t="shared" si="4"/>
        <v>240</v>
      </c>
      <c r="O99" s="14">
        <f t="shared" si="5"/>
        <v>239.61599999999999</v>
      </c>
    </row>
    <row r="100" spans="1:15" x14ac:dyDescent="0.3">
      <c r="A100" s="2" t="s">
        <v>110</v>
      </c>
      <c r="B100" s="3" t="s">
        <v>112</v>
      </c>
      <c r="C100" s="3" t="s">
        <v>283</v>
      </c>
      <c r="D100" s="4">
        <v>45294</v>
      </c>
      <c r="E100" s="4">
        <v>45294</v>
      </c>
      <c r="F100" s="3" t="s">
        <v>272</v>
      </c>
      <c r="G100" s="3" t="s">
        <v>118</v>
      </c>
      <c r="H100" s="2" t="s">
        <v>219</v>
      </c>
      <c r="I100" s="2" t="s">
        <v>223</v>
      </c>
      <c r="J100" s="3" t="s">
        <v>266</v>
      </c>
      <c r="K100" s="5">
        <v>4</v>
      </c>
      <c r="L100" s="6">
        <v>0.27</v>
      </c>
      <c r="M100" s="12">
        <v>10</v>
      </c>
      <c r="N100" s="12">
        <f t="shared" si="4"/>
        <v>40</v>
      </c>
      <c r="O100" s="14">
        <f t="shared" si="5"/>
        <v>39.891999999999996</v>
      </c>
    </row>
    <row r="101" spans="1:15" x14ac:dyDescent="0.3">
      <c r="A101" s="2" t="s">
        <v>111</v>
      </c>
      <c r="B101" s="3" t="s">
        <v>112</v>
      </c>
      <c r="C101" s="3" t="s">
        <v>284</v>
      </c>
      <c r="D101" s="4">
        <v>45412</v>
      </c>
      <c r="E101" s="4">
        <v>45412</v>
      </c>
      <c r="F101" s="3" t="s">
        <v>273</v>
      </c>
      <c r="G101" s="3" t="s">
        <v>119</v>
      </c>
      <c r="H101" s="2" t="s">
        <v>220</v>
      </c>
      <c r="I101" s="2" t="s">
        <v>224</v>
      </c>
      <c r="J101" s="3" t="s">
        <v>266</v>
      </c>
      <c r="K101" s="5">
        <v>1</v>
      </c>
      <c r="L101" s="6">
        <v>0.06</v>
      </c>
      <c r="M101" s="12">
        <v>10</v>
      </c>
      <c r="N101" s="12">
        <f t="shared" si="4"/>
        <v>10</v>
      </c>
      <c r="O101" s="14">
        <f t="shared" si="5"/>
        <v>9.9939999999999998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A737-E263-467F-96FB-AA632187A746}">
  <dimension ref="A3:B20"/>
  <sheetViews>
    <sheetView workbookViewId="0">
      <selection activeCell="O9" sqref="O9"/>
    </sheetView>
  </sheetViews>
  <sheetFormatPr defaultRowHeight="14.4" x14ac:dyDescent="0.3"/>
  <cols>
    <col min="1" max="1" width="12.88671875" customWidth="1"/>
    <col min="2" max="2" width="17.5546875" customWidth="1"/>
  </cols>
  <sheetData>
    <row r="3" spans="1:2" ht="28.8" x14ac:dyDescent="0.3">
      <c r="A3" s="19" t="s">
        <v>303</v>
      </c>
      <c r="B3" s="21" t="s">
        <v>277</v>
      </c>
    </row>
    <row r="4" spans="1:2" x14ac:dyDescent="0.3">
      <c r="A4" s="15" t="s">
        <v>298</v>
      </c>
      <c r="B4" s="22">
        <v>2768.9969999999998</v>
      </c>
    </row>
    <row r="5" spans="1:2" x14ac:dyDescent="0.3">
      <c r="A5" s="16" t="s">
        <v>286</v>
      </c>
      <c r="B5" s="22">
        <v>848.35249999999996</v>
      </c>
    </row>
    <row r="6" spans="1:2" x14ac:dyDescent="0.3">
      <c r="A6" s="16" t="s">
        <v>287</v>
      </c>
      <c r="B6" s="22">
        <v>784.41899999999998</v>
      </c>
    </row>
    <row r="7" spans="1:2" x14ac:dyDescent="0.3">
      <c r="A7" s="16" t="s">
        <v>288</v>
      </c>
      <c r="B7" s="22">
        <v>1136.2255</v>
      </c>
    </row>
    <row r="8" spans="1:2" x14ac:dyDescent="0.3">
      <c r="A8" s="15" t="s">
        <v>299</v>
      </c>
      <c r="B8" s="22">
        <v>2741.4139999999998</v>
      </c>
    </row>
    <row r="9" spans="1:2" x14ac:dyDescent="0.3">
      <c r="A9" s="16" t="s">
        <v>289</v>
      </c>
      <c r="B9" s="22">
        <v>650.18679999999995</v>
      </c>
    </row>
    <row r="10" spans="1:2" x14ac:dyDescent="0.3">
      <c r="A10" s="16" t="s">
        <v>290</v>
      </c>
      <c r="B10" s="22">
        <v>1228.6659999999999</v>
      </c>
    </row>
    <row r="11" spans="1:2" x14ac:dyDescent="0.3">
      <c r="A11" s="16" t="s">
        <v>291</v>
      </c>
      <c r="B11" s="22">
        <v>862.56119999999987</v>
      </c>
    </row>
    <row r="12" spans="1:2" x14ac:dyDescent="0.3">
      <c r="A12" s="15" t="s">
        <v>300</v>
      </c>
      <c r="B12" s="22">
        <v>1660.8359999999998</v>
      </c>
    </row>
    <row r="13" spans="1:2" x14ac:dyDescent="0.3">
      <c r="A13" s="16" t="s">
        <v>292</v>
      </c>
      <c r="B13" s="22">
        <v>789.21019999999987</v>
      </c>
    </row>
    <row r="14" spans="1:2" x14ac:dyDescent="0.3">
      <c r="A14" s="16" t="s">
        <v>293</v>
      </c>
      <c r="B14" s="22">
        <v>705.85180000000003</v>
      </c>
    </row>
    <row r="15" spans="1:2" x14ac:dyDescent="0.3">
      <c r="A15" s="16" t="s">
        <v>294</v>
      </c>
      <c r="B15" s="22">
        <v>165.774</v>
      </c>
    </row>
    <row r="16" spans="1:2" x14ac:dyDescent="0.3">
      <c r="A16" s="15" t="s">
        <v>301</v>
      </c>
      <c r="B16" s="22">
        <v>1214.2889</v>
      </c>
    </row>
    <row r="17" spans="1:2" x14ac:dyDescent="0.3">
      <c r="A17" s="16" t="s">
        <v>295</v>
      </c>
      <c r="B17" s="22">
        <v>179.768</v>
      </c>
    </row>
    <row r="18" spans="1:2" x14ac:dyDescent="0.3">
      <c r="A18" s="16" t="s">
        <v>296</v>
      </c>
      <c r="B18" s="22">
        <v>722.0625</v>
      </c>
    </row>
    <row r="19" spans="1:2" x14ac:dyDescent="0.3">
      <c r="A19" s="16" t="s">
        <v>297</v>
      </c>
      <c r="B19" s="22">
        <v>312.45840000000004</v>
      </c>
    </row>
    <row r="20" spans="1:2" x14ac:dyDescent="0.3">
      <c r="A20" s="15" t="s">
        <v>302</v>
      </c>
      <c r="B20" s="22">
        <v>8385.5359000000008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03735-51AC-42EF-B725-C6D5F4699C23}">
  <dimension ref="A2:O11"/>
  <sheetViews>
    <sheetView workbookViewId="0">
      <selection activeCell="O4" sqref="O4"/>
    </sheetView>
  </sheetViews>
  <sheetFormatPr defaultRowHeight="14.4" x14ac:dyDescent="0.3"/>
  <cols>
    <col min="1" max="1" width="13.5546875" bestFit="1" customWidth="1"/>
    <col min="2" max="2" width="16.44140625" bestFit="1" customWidth="1"/>
    <col min="14" max="14" width="16.33203125" bestFit="1" customWidth="1"/>
  </cols>
  <sheetData>
    <row r="2" spans="1:15" x14ac:dyDescent="0.3">
      <c r="N2" t="s">
        <v>305</v>
      </c>
      <c r="O2">
        <v>2503</v>
      </c>
    </row>
    <row r="3" spans="1:15" x14ac:dyDescent="0.3">
      <c r="N3" t="s">
        <v>306</v>
      </c>
      <c r="O3">
        <v>8386</v>
      </c>
    </row>
    <row r="4" spans="1:15" x14ac:dyDescent="0.3">
      <c r="O4" s="23">
        <f>O2/O3</f>
        <v>0.29847364655378011</v>
      </c>
    </row>
    <row r="5" spans="1:15" ht="28.8" x14ac:dyDescent="0.3">
      <c r="A5" s="19" t="s">
        <v>303</v>
      </c>
      <c r="B5" s="20" t="s">
        <v>277</v>
      </c>
    </row>
    <row r="6" spans="1:15" x14ac:dyDescent="0.3">
      <c r="A6" s="15" t="s">
        <v>237</v>
      </c>
      <c r="B6" s="22">
        <v>733.66700000000003</v>
      </c>
    </row>
    <row r="7" spans="1:15" x14ac:dyDescent="0.3">
      <c r="A7" s="15" t="s">
        <v>232</v>
      </c>
      <c r="B7" s="22">
        <v>511.16159999999996</v>
      </c>
    </row>
    <row r="8" spans="1:15" x14ac:dyDescent="0.3">
      <c r="A8" s="15" t="s">
        <v>235</v>
      </c>
      <c r="B8" s="22">
        <v>470.3931</v>
      </c>
    </row>
    <row r="9" spans="1:15" x14ac:dyDescent="0.3">
      <c r="A9" s="15" t="s">
        <v>228</v>
      </c>
      <c r="B9" s="22">
        <v>404.33019999999999</v>
      </c>
    </row>
    <row r="10" spans="1:15" x14ac:dyDescent="0.3">
      <c r="A10" s="15" t="s">
        <v>244</v>
      </c>
      <c r="B10" s="22">
        <v>383.37720000000002</v>
      </c>
    </row>
    <row r="11" spans="1:15" x14ac:dyDescent="0.3">
      <c r="A11" s="15" t="s">
        <v>302</v>
      </c>
      <c r="B11" s="22">
        <v>2502.9291000000003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35FC-9DE0-435A-B880-E639CC1EB995}">
  <dimension ref="A4:C29"/>
  <sheetViews>
    <sheetView zoomScale="80" zoomScaleNormal="80" workbookViewId="0">
      <selection activeCell="M16" sqref="M16"/>
    </sheetView>
  </sheetViews>
  <sheetFormatPr defaultRowHeight="14.4" x14ac:dyDescent="0.3"/>
  <cols>
    <col min="1" max="1" width="16.6640625" bestFit="1" customWidth="1"/>
    <col min="2" max="2" width="21.109375" style="17" customWidth="1"/>
    <col min="3" max="3" width="24" customWidth="1"/>
  </cols>
  <sheetData>
    <row r="4" spans="1:3" ht="28.8" x14ac:dyDescent="0.3">
      <c r="A4" s="19" t="s">
        <v>303</v>
      </c>
      <c r="B4" s="20" t="s">
        <v>277</v>
      </c>
      <c r="C4" s="20" t="s">
        <v>304</v>
      </c>
    </row>
    <row r="5" spans="1:3" x14ac:dyDescent="0.3">
      <c r="A5" s="15" t="s">
        <v>283</v>
      </c>
      <c r="B5" s="22">
        <v>1718.932</v>
      </c>
      <c r="C5" s="18">
        <v>0.20498773369988199</v>
      </c>
    </row>
    <row r="6" spans="1:3" x14ac:dyDescent="0.3">
      <c r="A6" s="15" t="s">
        <v>285</v>
      </c>
      <c r="B6" s="22">
        <v>1303.8926999999999</v>
      </c>
      <c r="C6" s="18">
        <v>0.36048080123298981</v>
      </c>
    </row>
    <row r="7" spans="1:3" x14ac:dyDescent="0.3">
      <c r="A7" s="15" t="s">
        <v>284</v>
      </c>
      <c r="B7" s="22">
        <v>1130.5851999999998</v>
      </c>
      <c r="C7" s="18">
        <v>0.49530643593094631</v>
      </c>
    </row>
    <row r="8" spans="1:3" x14ac:dyDescent="0.3">
      <c r="A8" s="15" t="s">
        <v>279</v>
      </c>
      <c r="B8" s="22">
        <v>1065.9417999999998</v>
      </c>
      <c r="C8" s="18">
        <v>0.6224231536591478</v>
      </c>
    </row>
    <row r="9" spans="1:3" x14ac:dyDescent="0.3">
      <c r="A9" s="15" t="s">
        <v>281</v>
      </c>
      <c r="B9" s="22">
        <v>1056.2973999999999</v>
      </c>
      <c r="C9" s="18">
        <v>0.7483897481137729</v>
      </c>
    </row>
    <row r="10" spans="1:3" x14ac:dyDescent="0.3">
      <c r="A10" s="15" t="s">
        <v>282</v>
      </c>
      <c r="B10" s="22">
        <v>926.60790000000009</v>
      </c>
      <c r="C10" s="18">
        <v>0.85889048546080393</v>
      </c>
    </row>
    <row r="11" spans="1:3" x14ac:dyDescent="0.3">
      <c r="A11" s="15" t="s">
        <v>278</v>
      </c>
      <c r="B11" s="22">
        <v>857.62769999999989</v>
      </c>
      <c r="C11" s="18">
        <v>0.96116512958939215</v>
      </c>
    </row>
    <row r="12" spans="1:3" x14ac:dyDescent="0.3">
      <c r="A12" s="15" t="s">
        <v>280</v>
      </c>
      <c r="B12" s="22">
        <v>325.65120000000007</v>
      </c>
      <c r="C12" s="18">
        <v>1</v>
      </c>
    </row>
    <row r="13" spans="1:3" x14ac:dyDescent="0.3">
      <c r="A13" s="15" t="s">
        <v>302</v>
      </c>
      <c r="B13" s="22">
        <v>8385.5358999999989</v>
      </c>
      <c r="C13" s="18"/>
    </row>
    <row r="14" spans="1:3" x14ac:dyDescent="0.3">
      <c r="B14"/>
    </row>
    <row r="15" spans="1:3" x14ac:dyDescent="0.3">
      <c r="B15"/>
    </row>
    <row r="16" spans="1:3"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sheetData>
  <pageMargins left="0.7" right="0.7" top="0.75" bottom="0.75" header="0.3" footer="0.3"/>
  <pageSetup paperSize="9" orientation="portrait" horizontalDpi="0"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6</vt:i4>
      </vt:variant>
    </vt:vector>
  </HeadingPairs>
  <TitlesOfParts>
    <vt:vector size="6" baseType="lpstr">
      <vt:lpstr>Executive Summary</vt:lpstr>
      <vt:lpstr>Dashboard</vt:lpstr>
      <vt:lpstr>Source</vt:lpstr>
      <vt:lpstr>sales_progress</vt:lpstr>
      <vt:lpstr>revenue-generating_stores</vt:lpstr>
      <vt:lpstr>warehouse_sales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Dudzic</dc:creator>
  <cp:lastModifiedBy>Anna Dudzic</cp:lastModifiedBy>
  <dcterms:created xsi:type="dcterms:W3CDTF">2025-02-22T23:08:05Z</dcterms:created>
  <dcterms:modified xsi:type="dcterms:W3CDTF">2025-12-13T23:52:16Z</dcterms:modified>
</cp:coreProperties>
</file>